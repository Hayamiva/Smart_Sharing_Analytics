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533EF3-A46F-4B11-8C17-B6A41FD936C8}" xr6:coauthVersionLast="47" xr6:coauthVersionMax="47" xr10:uidLastSave="{00000000-0000-0000-0000-000000000000}"/>
  <bookViews>
    <workbookView xWindow="390" yWindow="390" windowWidth="17220" windowHeight="14610" xr2:uid="{DCC4AEB9-9AA8-4ED4-BEA0-1E02860215F4}"/>
  </bookViews>
  <sheets>
    <sheet name="Лист2" sheetId="3" r:id="rId1"/>
    <sheet name="_SELECT_u_city_AS_Город_TO_CHAR" sheetId="2" r:id="rId2"/>
    <sheet name="Лист1" sheetId="1" r:id="rId3"/>
  </sheets>
  <definedNames>
    <definedName name="ExternalData_1" localSheetId="1" hidden="1">_SELECT_u_city_AS_Город_TO_CHAR!$C$1:$J$601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8" i="2" l="1"/>
  <c r="M25" i="2"/>
  <c r="M41" i="2"/>
  <c r="M42" i="2"/>
  <c r="M65" i="2"/>
  <c r="M66" i="2"/>
  <c r="M82" i="2"/>
  <c r="M98" i="2"/>
  <c r="M114" i="2"/>
  <c r="M130" i="2"/>
  <c r="M146" i="2"/>
  <c r="M162" i="2"/>
  <c r="M178" i="2"/>
  <c r="M194" i="2"/>
  <c r="M210" i="2"/>
  <c r="M226" i="2"/>
  <c r="M242" i="2"/>
  <c r="M258" i="2"/>
  <c r="M274" i="2"/>
  <c r="M290" i="2"/>
  <c r="M306" i="2"/>
  <c r="M322" i="2"/>
  <c r="M338" i="2"/>
  <c r="M354" i="2"/>
  <c r="M370" i="2"/>
  <c r="M386" i="2"/>
  <c r="M402" i="2"/>
  <c r="M418" i="2"/>
  <c r="M434" i="2"/>
  <c r="M450" i="2"/>
  <c r="M466" i="2"/>
  <c r="M482" i="2"/>
  <c r="M498" i="2"/>
  <c r="M514" i="2"/>
  <c r="M530" i="2"/>
  <c r="M546" i="2"/>
  <c r="M562" i="2"/>
  <c r="M578" i="2"/>
  <c r="M594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K2" i="2"/>
  <c r="M2" i="2" s="1"/>
  <c r="K3" i="2"/>
  <c r="M3" i="2" s="1"/>
  <c r="K4" i="2"/>
  <c r="M4" i="2" s="1"/>
  <c r="K5" i="2"/>
  <c r="M5" i="2" s="1"/>
  <c r="K6" i="2"/>
  <c r="M6" i="2" s="1"/>
  <c r="K7" i="2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K19" i="2"/>
  <c r="M19" i="2" s="1"/>
  <c r="K20" i="2"/>
  <c r="M20" i="2" s="1"/>
  <c r="K21" i="2"/>
  <c r="M21" i="2" s="1"/>
  <c r="K22" i="2"/>
  <c r="M22" i="2" s="1"/>
  <c r="K23" i="2"/>
  <c r="M23" i="2" s="1"/>
  <c r="K24" i="2"/>
  <c r="M24" i="2" s="1"/>
  <c r="K25" i="2"/>
  <c r="K26" i="2"/>
  <c r="M26" i="2" s="1"/>
  <c r="K27" i="2"/>
  <c r="M27" i="2" s="1"/>
  <c r="K28" i="2"/>
  <c r="M28" i="2" s="1"/>
  <c r="K29" i="2"/>
  <c r="M29" i="2" s="1"/>
  <c r="K30" i="2"/>
  <c r="M30" i="2" s="1"/>
  <c r="K31" i="2"/>
  <c r="M31" i="2" s="1"/>
  <c r="K32" i="2"/>
  <c r="M32" i="2" s="1"/>
  <c r="K33" i="2"/>
  <c r="M33" i="2" s="1"/>
  <c r="K34" i="2"/>
  <c r="M34" i="2" s="1"/>
  <c r="K35" i="2"/>
  <c r="M35" i="2" s="1"/>
  <c r="K36" i="2"/>
  <c r="M36" i="2" s="1"/>
  <c r="K37" i="2"/>
  <c r="M37" i="2" s="1"/>
  <c r="K38" i="2"/>
  <c r="M38" i="2" s="1"/>
  <c r="K39" i="2"/>
  <c r="M39" i="2" s="1"/>
  <c r="K40" i="2"/>
  <c r="M40" i="2" s="1"/>
  <c r="K41" i="2"/>
  <c r="K42" i="2"/>
  <c r="K43" i="2"/>
  <c r="M43" i="2" s="1"/>
  <c r="K44" i="2"/>
  <c r="M44" i="2" s="1"/>
  <c r="K45" i="2"/>
  <c r="M45" i="2" s="1"/>
  <c r="K46" i="2"/>
  <c r="M46" i="2" s="1"/>
  <c r="K47" i="2"/>
  <c r="M47" i="2" s="1"/>
  <c r="K48" i="2"/>
  <c r="M48" i="2" s="1"/>
  <c r="K49" i="2"/>
  <c r="M49" i="2" s="1"/>
  <c r="K50" i="2"/>
  <c r="M50" i="2" s="1"/>
  <c r="K51" i="2"/>
  <c r="M51" i="2" s="1"/>
  <c r="K52" i="2"/>
  <c r="M52" i="2" s="1"/>
  <c r="K53" i="2"/>
  <c r="M53" i="2" s="1"/>
  <c r="K54" i="2"/>
  <c r="M54" i="2" s="1"/>
  <c r="K55" i="2"/>
  <c r="M55" i="2" s="1"/>
  <c r="K56" i="2"/>
  <c r="M56" i="2" s="1"/>
  <c r="K57" i="2"/>
  <c r="M57" i="2" s="1"/>
  <c r="K58" i="2"/>
  <c r="M58" i="2" s="1"/>
  <c r="K59" i="2"/>
  <c r="M59" i="2" s="1"/>
  <c r="K60" i="2"/>
  <c r="M60" i="2" s="1"/>
  <c r="K61" i="2"/>
  <c r="M61" i="2" s="1"/>
  <c r="K62" i="2"/>
  <c r="M62" i="2" s="1"/>
  <c r="K63" i="2"/>
  <c r="M63" i="2" s="1"/>
  <c r="K64" i="2"/>
  <c r="M64" i="2" s="1"/>
  <c r="K65" i="2"/>
  <c r="K66" i="2"/>
  <c r="K67" i="2"/>
  <c r="M67" i="2" s="1"/>
  <c r="K68" i="2"/>
  <c r="M68" i="2" s="1"/>
  <c r="K69" i="2"/>
  <c r="M69" i="2" s="1"/>
  <c r="K70" i="2"/>
  <c r="M70" i="2" s="1"/>
  <c r="K71" i="2"/>
  <c r="M71" i="2" s="1"/>
  <c r="K72" i="2"/>
  <c r="M72" i="2" s="1"/>
  <c r="K73" i="2"/>
  <c r="M73" i="2" s="1"/>
  <c r="K74" i="2"/>
  <c r="M74" i="2" s="1"/>
  <c r="K75" i="2"/>
  <c r="M75" i="2" s="1"/>
  <c r="K76" i="2"/>
  <c r="M76" i="2" s="1"/>
  <c r="K77" i="2"/>
  <c r="M77" i="2" s="1"/>
  <c r="K78" i="2"/>
  <c r="M78" i="2" s="1"/>
  <c r="K79" i="2"/>
  <c r="M79" i="2" s="1"/>
  <c r="K80" i="2"/>
  <c r="M80" i="2" s="1"/>
  <c r="K81" i="2"/>
  <c r="M81" i="2" s="1"/>
  <c r="K82" i="2"/>
  <c r="K83" i="2"/>
  <c r="M83" i="2" s="1"/>
  <c r="K84" i="2"/>
  <c r="M84" i="2" s="1"/>
  <c r="K85" i="2"/>
  <c r="M85" i="2" s="1"/>
  <c r="K86" i="2"/>
  <c r="M86" i="2" s="1"/>
  <c r="K87" i="2"/>
  <c r="M87" i="2" s="1"/>
  <c r="K88" i="2"/>
  <c r="M88" i="2" s="1"/>
  <c r="K89" i="2"/>
  <c r="M89" i="2" s="1"/>
  <c r="K90" i="2"/>
  <c r="M90" i="2" s="1"/>
  <c r="K91" i="2"/>
  <c r="M91" i="2" s="1"/>
  <c r="K92" i="2"/>
  <c r="M92" i="2" s="1"/>
  <c r="K93" i="2"/>
  <c r="M93" i="2" s="1"/>
  <c r="K94" i="2"/>
  <c r="M94" i="2" s="1"/>
  <c r="K95" i="2"/>
  <c r="M95" i="2" s="1"/>
  <c r="K96" i="2"/>
  <c r="M96" i="2" s="1"/>
  <c r="K97" i="2"/>
  <c r="M97" i="2" s="1"/>
  <c r="K98" i="2"/>
  <c r="K99" i="2"/>
  <c r="M99" i="2" s="1"/>
  <c r="K100" i="2"/>
  <c r="M100" i="2" s="1"/>
  <c r="K101" i="2"/>
  <c r="M101" i="2" s="1"/>
  <c r="K102" i="2"/>
  <c r="M102" i="2" s="1"/>
  <c r="K103" i="2"/>
  <c r="M103" i="2" s="1"/>
  <c r="K104" i="2"/>
  <c r="M104" i="2" s="1"/>
  <c r="K105" i="2"/>
  <c r="M105" i="2" s="1"/>
  <c r="K106" i="2"/>
  <c r="M106" i="2" s="1"/>
  <c r="K107" i="2"/>
  <c r="M107" i="2" s="1"/>
  <c r="K108" i="2"/>
  <c r="M108" i="2" s="1"/>
  <c r="K109" i="2"/>
  <c r="M109" i="2" s="1"/>
  <c r="K110" i="2"/>
  <c r="M110" i="2" s="1"/>
  <c r="K111" i="2"/>
  <c r="M111" i="2" s="1"/>
  <c r="K112" i="2"/>
  <c r="M112" i="2" s="1"/>
  <c r="K113" i="2"/>
  <c r="M113" i="2" s="1"/>
  <c r="K114" i="2"/>
  <c r="K115" i="2"/>
  <c r="M115" i="2" s="1"/>
  <c r="K116" i="2"/>
  <c r="M116" i="2" s="1"/>
  <c r="K117" i="2"/>
  <c r="M117" i="2" s="1"/>
  <c r="K118" i="2"/>
  <c r="M118" i="2" s="1"/>
  <c r="K119" i="2"/>
  <c r="M119" i="2" s="1"/>
  <c r="K120" i="2"/>
  <c r="M120" i="2" s="1"/>
  <c r="K121" i="2"/>
  <c r="M121" i="2" s="1"/>
  <c r="K122" i="2"/>
  <c r="M122" i="2" s="1"/>
  <c r="K123" i="2"/>
  <c r="M123" i="2" s="1"/>
  <c r="K124" i="2"/>
  <c r="M124" i="2" s="1"/>
  <c r="K125" i="2"/>
  <c r="M125" i="2" s="1"/>
  <c r="K126" i="2"/>
  <c r="M126" i="2" s="1"/>
  <c r="K127" i="2"/>
  <c r="M127" i="2" s="1"/>
  <c r="K128" i="2"/>
  <c r="M128" i="2" s="1"/>
  <c r="K129" i="2"/>
  <c r="M129" i="2" s="1"/>
  <c r="K130" i="2"/>
  <c r="K131" i="2"/>
  <c r="M131" i="2" s="1"/>
  <c r="K132" i="2"/>
  <c r="M132" i="2" s="1"/>
  <c r="K133" i="2"/>
  <c r="M133" i="2" s="1"/>
  <c r="K134" i="2"/>
  <c r="M134" i="2" s="1"/>
  <c r="K135" i="2"/>
  <c r="M135" i="2" s="1"/>
  <c r="K136" i="2"/>
  <c r="M136" i="2" s="1"/>
  <c r="K137" i="2"/>
  <c r="M137" i="2" s="1"/>
  <c r="K138" i="2"/>
  <c r="M138" i="2" s="1"/>
  <c r="K139" i="2"/>
  <c r="M139" i="2" s="1"/>
  <c r="K140" i="2"/>
  <c r="M140" i="2" s="1"/>
  <c r="K141" i="2"/>
  <c r="M141" i="2" s="1"/>
  <c r="K142" i="2"/>
  <c r="M142" i="2" s="1"/>
  <c r="K143" i="2"/>
  <c r="M143" i="2" s="1"/>
  <c r="K144" i="2"/>
  <c r="M144" i="2" s="1"/>
  <c r="K145" i="2"/>
  <c r="M145" i="2" s="1"/>
  <c r="K146" i="2"/>
  <c r="K147" i="2"/>
  <c r="M147" i="2" s="1"/>
  <c r="K148" i="2"/>
  <c r="M148" i="2" s="1"/>
  <c r="K149" i="2"/>
  <c r="M149" i="2" s="1"/>
  <c r="K150" i="2"/>
  <c r="M150" i="2" s="1"/>
  <c r="K151" i="2"/>
  <c r="M151" i="2" s="1"/>
  <c r="K152" i="2"/>
  <c r="M152" i="2" s="1"/>
  <c r="K153" i="2"/>
  <c r="M153" i="2" s="1"/>
  <c r="K154" i="2"/>
  <c r="M154" i="2" s="1"/>
  <c r="K155" i="2"/>
  <c r="M155" i="2" s="1"/>
  <c r="K156" i="2"/>
  <c r="M156" i="2" s="1"/>
  <c r="K157" i="2"/>
  <c r="M157" i="2" s="1"/>
  <c r="K158" i="2"/>
  <c r="M158" i="2" s="1"/>
  <c r="K159" i="2"/>
  <c r="M159" i="2" s="1"/>
  <c r="K160" i="2"/>
  <c r="M160" i="2" s="1"/>
  <c r="K161" i="2"/>
  <c r="M161" i="2" s="1"/>
  <c r="K162" i="2"/>
  <c r="K163" i="2"/>
  <c r="M163" i="2" s="1"/>
  <c r="K164" i="2"/>
  <c r="M164" i="2" s="1"/>
  <c r="K165" i="2"/>
  <c r="M165" i="2" s="1"/>
  <c r="K166" i="2"/>
  <c r="M166" i="2" s="1"/>
  <c r="K167" i="2"/>
  <c r="M167" i="2" s="1"/>
  <c r="K168" i="2"/>
  <c r="M168" i="2" s="1"/>
  <c r="K169" i="2"/>
  <c r="M169" i="2" s="1"/>
  <c r="K170" i="2"/>
  <c r="M170" i="2" s="1"/>
  <c r="K171" i="2"/>
  <c r="M171" i="2" s="1"/>
  <c r="K172" i="2"/>
  <c r="M172" i="2" s="1"/>
  <c r="K173" i="2"/>
  <c r="M173" i="2" s="1"/>
  <c r="K174" i="2"/>
  <c r="M174" i="2" s="1"/>
  <c r="K175" i="2"/>
  <c r="M175" i="2" s="1"/>
  <c r="K176" i="2"/>
  <c r="M176" i="2" s="1"/>
  <c r="K177" i="2"/>
  <c r="M177" i="2" s="1"/>
  <c r="K178" i="2"/>
  <c r="K179" i="2"/>
  <c r="M179" i="2" s="1"/>
  <c r="K180" i="2"/>
  <c r="M180" i="2" s="1"/>
  <c r="K181" i="2"/>
  <c r="M181" i="2" s="1"/>
  <c r="K182" i="2"/>
  <c r="M182" i="2" s="1"/>
  <c r="K183" i="2"/>
  <c r="M183" i="2" s="1"/>
  <c r="K184" i="2"/>
  <c r="M184" i="2" s="1"/>
  <c r="K185" i="2"/>
  <c r="M185" i="2" s="1"/>
  <c r="K186" i="2"/>
  <c r="M186" i="2" s="1"/>
  <c r="K187" i="2"/>
  <c r="M187" i="2" s="1"/>
  <c r="K188" i="2"/>
  <c r="M188" i="2" s="1"/>
  <c r="K189" i="2"/>
  <c r="M189" i="2" s="1"/>
  <c r="K190" i="2"/>
  <c r="M190" i="2" s="1"/>
  <c r="K191" i="2"/>
  <c r="M191" i="2" s="1"/>
  <c r="K192" i="2"/>
  <c r="M192" i="2" s="1"/>
  <c r="K193" i="2"/>
  <c r="M193" i="2" s="1"/>
  <c r="K194" i="2"/>
  <c r="K195" i="2"/>
  <c r="M195" i="2" s="1"/>
  <c r="K196" i="2"/>
  <c r="M196" i="2" s="1"/>
  <c r="K197" i="2"/>
  <c r="M197" i="2" s="1"/>
  <c r="K198" i="2"/>
  <c r="M198" i="2" s="1"/>
  <c r="K199" i="2"/>
  <c r="M199" i="2" s="1"/>
  <c r="K200" i="2"/>
  <c r="M200" i="2" s="1"/>
  <c r="K201" i="2"/>
  <c r="M201" i="2" s="1"/>
  <c r="K202" i="2"/>
  <c r="M202" i="2" s="1"/>
  <c r="K203" i="2"/>
  <c r="M203" i="2" s="1"/>
  <c r="K204" i="2"/>
  <c r="M204" i="2" s="1"/>
  <c r="K205" i="2"/>
  <c r="M205" i="2" s="1"/>
  <c r="K206" i="2"/>
  <c r="M206" i="2" s="1"/>
  <c r="K207" i="2"/>
  <c r="M207" i="2" s="1"/>
  <c r="K208" i="2"/>
  <c r="M208" i="2" s="1"/>
  <c r="K209" i="2"/>
  <c r="M209" i="2" s="1"/>
  <c r="K210" i="2"/>
  <c r="K211" i="2"/>
  <c r="M211" i="2" s="1"/>
  <c r="K212" i="2"/>
  <c r="M212" i="2" s="1"/>
  <c r="K213" i="2"/>
  <c r="M213" i="2" s="1"/>
  <c r="K214" i="2"/>
  <c r="M214" i="2" s="1"/>
  <c r="K215" i="2"/>
  <c r="M215" i="2" s="1"/>
  <c r="K216" i="2"/>
  <c r="M216" i="2" s="1"/>
  <c r="K217" i="2"/>
  <c r="M217" i="2" s="1"/>
  <c r="K218" i="2"/>
  <c r="M218" i="2" s="1"/>
  <c r="K219" i="2"/>
  <c r="M219" i="2" s="1"/>
  <c r="K220" i="2"/>
  <c r="M220" i="2" s="1"/>
  <c r="K221" i="2"/>
  <c r="M221" i="2" s="1"/>
  <c r="K222" i="2"/>
  <c r="M222" i="2" s="1"/>
  <c r="K223" i="2"/>
  <c r="M223" i="2" s="1"/>
  <c r="K224" i="2"/>
  <c r="M224" i="2" s="1"/>
  <c r="K225" i="2"/>
  <c r="M225" i="2" s="1"/>
  <c r="K226" i="2"/>
  <c r="K227" i="2"/>
  <c r="M227" i="2" s="1"/>
  <c r="K228" i="2"/>
  <c r="M228" i="2" s="1"/>
  <c r="K229" i="2"/>
  <c r="M229" i="2" s="1"/>
  <c r="K230" i="2"/>
  <c r="M230" i="2" s="1"/>
  <c r="K231" i="2"/>
  <c r="M231" i="2" s="1"/>
  <c r="K232" i="2"/>
  <c r="M232" i="2" s="1"/>
  <c r="K233" i="2"/>
  <c r="M233" i="2" s="1"/>
  <c r="K234" i="2"/>
  <c r="M234" i="2" s="1"/>
  <c r="K235" i="2"/>
  <c r="M235" i="2" s="1"/>
  <c r="K236" i="2"/>
  <c r="M236" i="2" s="1"/>
  <c r="K237" i="2"/>
  <c r="M237" i="2" s="1"/>
  <c r="K238" i="2"/>
  <c r="M238" i="2" s="1"/>
  <c r="K239" i="2"/>
  <c r="M239" i="2" s="1"/>
  <c r="K240" i="2"/>
  <c r="M240" i="2" s="1"/>
  <c r="K241" i="2"/>
  <c r="M241" i="2" s="1"/>
  <c r="K242" i="2"/>
  <c r="K243" i="2"/>
  <c r="M243" i="2" s="1"/>
  <c r="K244" i="2"/>
  <c r="M244" i="2" s="1"/>
  <c r="K245" i="2"/>
  <c r="M245" i="2" s="1"/>
  <c r="K246" i="2"/>
  <c r="M246" i="2" s="1"/>
  <c r="K247" i="2"/>
  <c r="M247" i="2" s="1"/>
  <c r="K248" i="2"/>
  <c r="M248" i="2" s="1"/>
  <c r="K249" i="2"/>
  <c r="M249" i="2" s="1"/>
  <c r="K250" i="2"/>
  <c r="M250" i="2" s="1"/>
  <c r="K251" i="2"/>
  <c r="M251" i="2" s="1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68" i="2"/>
  <c r="M268" i="2" s="1"/>
  <c r="K269" i="2"/>
  <c r="M269" i="2" s="1"/>
  <c r="K270" i="2"/>
  <c r="M270" i="2" s="1"/>
  <c r="K271" i="2"/>
  <c r="M271" i="2" s="1"/>
  <c r="K272" i="2"/>
  <c r="M272" i="2" s="1"/>
  <c r="K273" i="2"/>
  <c r="M273" i="2" s="1"/>
  <c r="K274" i="2"/>
  <c r="K275" i="2"/>
  <c r="M275" i="2" s="1"/>
  <c r="K276" i="2"/>
  <c r="M276" i="2" s="1"/>
  <c r="K277" i="2"/>
  <c r="M277" i="2" s="1"/>
  <c r="K278" i="2"/>
  <c r="M278" i="2" s="1"/>
  <c r="K279" i="2"/>
  <c r="M279" i="2" s="1"/>
  <c r="K280" i="2"/>
  <c r="M280" i="2" s="1"/>
  <c r="K281" i="2"/>
  <c r="M281" i="2" s="1"/>
  <c r="K282" i="2"/>
  <c r="M282" i="2" s="1"/>
  <c r="K283" i="2"/>
  <c r="M283" i="2" s="1"/>
  <c r="K284" i="2"/>
  <c r="M284" i="2" s="1"/>
  <c r="K285" i="2"/>
  <c r="M285" i="2" s="1"/>
  <c r="K286" i="2"/>
  <c r="M286" i="2" s="1"/>
  <c r="K287" i="2"/>
  <c r="M287" i="2" s="1"/>
  <c r="K288" i="2"/>
  <c r="M288" i="2" s="1"/>
  <c r="K289" i="2"/>
  <c r="M289" i="2" s="1"/>
  <c r="K290" i="2"/>
  <c r="K291" i="2"/>
  <c r="M291" i="2" s="1"/>
  <c r="K292" i="2"/>
  <c r="M292" i="2" s="1"/>
  <c r="K293" i="2"/>
  <c r="M293" i="2" s="1"/>
  <c r="K294" i="2"/>
  <c r="M294" i="2" s="1"/>
  <c r="K295" i="2"/>
  <c r="M295" i="2" s="1"/>
  <c r="K296" i="2"/>
  <c r="M296" i="2" s="1"/>
  <c r="K297" i="2"/>
  <c r="M297" i="2" s="1"/>
  <c r="K298" i="2"/>
  <c r="M298" i="2" s="1"/>
  <c r="K299" i="2"/>
  <c r="M299" i="2" s="1"/>
  <c r="K300" i="2"/>
  <c r="M300" i="2" s="1"/>
  <c r="K301" i="2"/>
  <c r="M301" i="2" s="1"/>
  <c r="K302" i="2"/>
  <c r="M302" i="2" s="1"/>
  <c r="K303" i="2"/>
  <c r="M303" i="2" s="1"/>
  <c r="K304" i="2"/>
  <c r="M304" i="2" s="1"/>
  <c r="K305" i="2"/>
  <c r="M305" i="2" s="1"/>
  <c r="K306" i="2"/>
  <c r="K307" i="2"/>
  <c r="M307" i="2" s="1"/>
  <c r="K308" i="2"/>
  <c r="M308" i="2" s="1"/>
  <c r="K309" i="2"/>
  <c r="M309" i="2" s="1"/>
  <c r="K310" i="2"/>
  <c r="M310" i="2" s="1"/>
  <c r="K311" i="2"/>
  <c r="M311" i="2" s="1"/>
  <c r="K312" i="2"/>
  <c r="M312" i="2" s="1"/>
  <c r="K313" i="2"/>
  <c r="M313" i="2" s="1"/>
  <c r="K314" i="2"/>
  <c r="M314" i="2" s="1"/>
  <c r="K315" i="2"/>
  <c r="M315" i="2" s="1"/>
  <c r="K316" i="2"/>
  <c r="M316" i="2" s="1"/>
  <c r="K317" i="2"/>
  <c r="M317" i="2" s="1"/>
  <c r="K318" i="2"/>
  <c r="M318" i="2" s="1"/>
  <c r="K319" i="2"/>
  <c r="M319" i="2" s="1"/>
  <c r="K320" i="2"/>
  <c r="M320" i="2" s="1"/>
  <c r="K321" i="2"/>
  <c r="M321" i="2" s="1"/>
  <c r="K322" i="2"/>
  <c r="K323" i="2"/>
  <c r="M323" i="2" s="1"/>
  <c r="K324" i="2"/>
  <c r="M324" i="2" s="1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K355" i="2"/>
  <c r="M35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7" i="2"/>
  <c r="M397" i="2" s="1"/>
  <c r="K398" i="2"/>
  <c r="M398" i="2" s="1"/>
  <c r="K399" i="2"/>
  <c r="M399" i="2" s="1"/>
  <c r="K400" i="2"/>
  <c r="M400" i="2" s="1"/>
  <c r="K401" i="2"/>
  <c r="M401" i="2" s="1"/>
  <c r="K402" i="2"/>
  <c r="K403" i="2"/>
  <c r="M403" i="2" s="1"/>
  <c r="K404" i="2"/>
  <c r="M404" i="2" s="1"/>
  <c r="K405" i="2"/>
  <c r="M405" i="2" s="1"/>
  <c r="K406" i="2"/>
  <c r="M406" i="2" s="1"/>
  <c r="K407" i="2"/>
  <c r="M407" i="2" s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6" i="2"/>
  <c r="M416" i="2" s="1"/>
  <c r="K417" i="2"/>
  <c r="M417" i="2" s="1"/>
  <c r="K418" i="2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M444" i="2" s="1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K451" i="2"/>
  <c r="M451" i="2" s="1"/>
  <c r="K452" i="2"/>
  <c r="M452" i="2" s="1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M460" i="2" s="1"/>
  <c r="K461" i="2"/>
  <c r="M461" i="2" s="1"/>
  <c r="K462" i="2"/>
  <c r="M462" i="2" s="1"/>
  <c r="K463" i="2"/>
  <c r="M463" i="2" s="1"/>
  <c r="K464" i="2"/>
  <c r="M464" i="2" s="1"/>
  <c r="K465" i="2"/>
  <c r="M465" i="2" s="1"/>
  <c r="K466" i="2"/>
  <c r="K467" i="2"/>
  <c r="M467" i="2" s="1"/>
  <c r="K468" i="2"/>
  <c r="M468" i="2" s="1"/>
  <c r="K469" i="2"/>
  <c r="M469" i="2" s="1"/>
  <c r="K470" i="2"/>
  <c r="M470" i="2" s="1"/>
  <c r="K471" i="2"/>
  <c r="M471" i="2" s="1"/>
  <c r="K472" i="2"/>
  <c r="M472" i="2" s="1"/>
  <c r="K473" i="2"/>
  <c r="M473" i="2" s="1"/>
  <c r="K474" i="2"/>
  <c r="M474" i="2" s="1"/>
  <c r="K475" i="2"/>
  <c r="M475" i="2" s="1"/>
  <c r="K476" i="2"/>
  <c r="M476" i="2" s="1"/>
  <c r="K477" i="2"/>
  <c r="M477" i="2" s="1"/>
  <c r="K478" i="2"/>
  <c r="M478" i="2" s="1"/>
  <c r="K479" i="2"/>
  <c r="M479" i="2" s="1"/>
  <c r="K480" i="2"/>
  <c r="M480" i="2" s="1"/>
  <c r="K481" i="2"/>
  <c r="M481" i="2" s="1"/>
  <c r="K482" i="2"/>
  <c r="K483" i="2"/>
  <c r="M483" i="2" s="1"/>
  <c r="K484" i="2"/>
  <c r="M484" i="2" s="1"/>
  <c r="K485" i="2"/>
  <c r="M485" i="2" s="1"/>
  <c r="K486" i="2"/>
  <c r="M486" i="2" s="1"/>
  <c r="K487" i="2"/>
  <c r="M487" i="2" s="1"/>
  <c r="K488" i="2"/>
  <c r="M488" i="2" s="1"/>
  <c r="K489" i="2"/>
  <c r="M489" i="2" s="1"/>
  <c r="K490" i="2"/>
  <c r="M490" i="2" s="1"/>
  <c r="K491" i="2"/>
  <c r="M491" i="2" s="1"/>
  <c r="K492" i="2"/>
  <c r="M492" i="2" s="1"/>
  <c r="K493" i="2"/>
  <c r="M493" i="2" s="1"/>
  <c r="K494" i="2"/>
  <c r="M494" i="2" s="1"/>
  <c r="K495" i="2"/>
  <c r="M495" i="2" s="1"/>
  <c r="K496" i="2"/>
  <c r="M496" i="2" s="1"/>
  <c r="K497" i="2"/>
  <c r="M497" i="2" s="1"/>
  <c r="K498" i="2"/>
  <c r="K499" i="2"/>
  <c r="M499" i="2" s="1"/>
  <c r="K500" i="2"/>
  <c r="M500" i="2" s="1"/>
  <c r="K501" i="2"/>
  <c r="M501" i="2" s="1"/>
  <c r="K502" i="2"/>
  <c r="M502" i="2" s="1"/>
  <c r="K503" i="2"/>
  <c r="M503" i="2" s="1"/>
  <c r="K504" i="2"/>
  <c r="M504" i="2" s="1"/>
  <c r="K505" i="2"/>
  <c r="M505" i="2" s="1"/>
  <c r="K506" i="2"/>
  <c r="M506" i="2" s="1"/>
  <c r="K507" i="2"/>
  <c r="M507" i="2" s="1"/>
  <c r="K508" i="2"/>
  <c r="M508" i="2" s="1"/>
  <c r="K509" i="2"/>
  <c r="M509" i="2" s="1"/>
  <c r="K510" i="2"/>
  <c r="M510" i="2" s="1"/>
  <c r="K511" i="2"/>
  <c r="M511" i="2" s="1"/>
  <c r="K512" i="2"/>
  <c r="M512" i="2" s="1"/>
  <c r="K513" i="2"/>
  <c r="M513" i="2" s="1"/>
  <c r="K514" i="2"/>
  <c r="K515" i="2"/>
  <c r="M515" i="2" s="1"/>
  <c r="K516" i="2"/>
  <c r="M516" i="2" s="1"/>
  <c r="K517" i="2"/>
  <c r="M517" i="2" s="1"/>
  <c r="K518" i="2"/>
  <c r="M518" i="2" s="1"/>
  <c r="K519" i="2"/>
  <c r="M519" i="2" s="1"/>
  <c r="K520" i="2"/>
  <c r="M520" i="2" s="1"/>
  <c r="K521" i="2"/>
  <c r="M521" i="2" s="1"/>
  <c r="K522" i="2"/>
  <c r="M522" i="2" s="1"/>
  <c r="K523" i="2"/>
  <c r="M523" i="2" s="1"/>
  <c r="K524" i="2"/>
  <c r="M524" i="2" s="1"/>
  <c r="K525" i="2"/>
  <c r="M525" i="2" s="1"/>
  <c r="K526" i="2"/>
  <c r="M526" i="2" s="1"/>
  <c r="K527" i="2"/>
  <c r="M527" i="2" s="1"/>
  <c r="K528" i="2"/>
  <c r="M528" i="2" s="1"/>
  <c r="K529" i="2"/>
  <c r="M529" i="2" s="1"/>
  <c r="K530" i="2"/>
  <c r="K531" i="2"/>
  <c r="M531" i="2" s="1"/>
  <c r="K532" i="2"/>
  <c r="M532" i="2" s="1"/>
  <c r="K533" i="2"/>
  <c r="M533" i="2" s="1"/>
  <c r="K534" i="2"/>
  <c r="M534" i="2" s="1"/>
  <c r="K535" i="2"/>
  <c r="M535" i="2" s="1"/>
  <c r="K536" i="2"/>
  <c r="M536" i="2" s="1"/>
  <c r="K537" i="2"/>
  <c r="M537" i="2" s="1"/>
  <c r="K538" i="2"/>
  <c r="M538" i="2" s="1"/>
  <c r="K539" i="2"/>
  <c r="M539" i="2" s="1"/>
  <c r="K540" i="2"/>
  <c r="M540" i="2" s="1"/>
  <c r="K541" i="2"/>
  <c r="M541" i="2" s="1"/>
  <c r="K542" i="2"/>
  <c r="M542" i="2" s="1"/>
  <c r="K543" i="2"/>
  <c r="M543" i="2" s="1"/>
  <c r="K544" i="2"/>
  <c r="M544" i="2" s="1"/>
  <c r="K545" i="2"/>
  <c r="M545" i="2" s="1"/>
  <c r="K546" i="2"/>
  <c r="K547" i="2"/>
  <c r="M547" i="2" s="1"/>
  <c r="K548" i="2"/>
  <c r="M548" i="2" s="1"/>
  <c r="K549" i="2"/>
  <c r="M549" i="2" s="1"/>
  <c r="K550" i="2"/>
  <c r="M550" i="2" s="1"/>
  <c r="K551" i="2"/>
  <c r="M551" i="2" s="1"/>
  <c r="K552" i="2"/>
  <c r="M552" i="2" s="1"/>
  <c r="K553" i="2"/>
  <c r="M553" i="2" s="1"/>
  <c r="K554" i="2"/>
  <c r="M554" i="2" s="1"/>
  <c r="K555" i="2"/>
  <c r="M555" i="2" s="1"/>
  <c r="K556" i="2"/>
  <c r="M556" i="2" s="1"/>
  <c r="K557" i="2"/>
  <c r="M557" i="2" s="1"/>
  <c r="K558" i="2"/>
  <c r="M558" i="2" s="1"/>
  <c r="K559" i="2"/>
  <c r="M559" i="2" s="1"/>
  <c r="K560" i="2"/>
  <c r="M560" i="2" s="1"/>
  <c r="K561" i="2"/>
  <c r="M561" i="2" s="1"/>
  <c r="K562" i="2"/>
  <c r="K563" i="2"/>
  <c r="M563" i="2" s="1"/>
  <c r="K564" i="2"/>
  <c r="M564" i="2" s="1"/>
  <c r="K565" i="2"/>
  <c r="M565" i="2" s="1"/>
  <c r="K566" i="2"/>
  <c r="M566" i="2" s="1"/>
  <c r="K567" i="2"/>
  <c r="M567" i="2" s="1"/>
  <c r="K568" i="2"/>
  <c r="M568" i="2" s="1"/>
  <c r="K569" i="2"/>
  <c r="M569" i="2" s="1"/>
  <c r="K570" i="2"/>
  <c r="M570" i="2" s="1"/>
  <c r="K571" i="2"/>
  <c r="M571" i="2" s="1"/>
  <c r="K572" i="2"/>
  <c r="M572" i="2" s="1"/>
  <c r="K573" i="2"/>
  <c r="M573" i="2" s="1"/>
  <c r="K574" i="2"/>
  <c r="M574" i="2" s="1"/>
  <c r="K575" i="2"/>
  <c r="M575" i="2" s="1"/>
  <c r="K576" i="2"/>
  <c r="M576" i="2" s="1"/>
  <c r="K577" i="2"/>
  <c r="M577" i="2" s="1"/>
  <c r="K578" i="2"/>
  <c r="K579" i="2"/>
  <c r="M579" i="2" s="1"/>
  <c r="K580" i="2"/>
  <c r="M580" i="2" s="1"/>
  <c r="K581" i="2"/>
  <c r="M581" i="2" s="1"/>
  <c r="K582" i="2"/>
  <c r="M582" i="2" s="1"/>
  <c r="K583" i="2"/>
  <c r="M583" i="2" s="1"/>
  <c r="K584" i="2"/>
  <c r="M584" i="2" s="1"/>
  <c r="K585" i="2"/>
  <c r="M585" i="2" s="1"/>
  <c r="K586" i="2"/>
  <c r="M586" i="2" s="1"/>
  <c r="K587" i="2"/>
  <c r="M587" i="2" s="1"/>
  <c r="K588" i="2"/>
  <c r="M588" i="2" s="1"/>
  <c r="K589" i="2"/>
  <c r="M589" i="2" s="1"/>
  <c r="K590" i="2"/>
  <c r="M590" i="2" s="1"/>
  <c r="K591" i="2"/>
  <c r="M591" i="2" s="1"/>
  <c r="K592" i="2"/>
  <c r="M592" i="2" s="1"/>
  <c r="K593" i="2"/>
  <c r="M593" i="2" s="1"/>
  <c r="K594" i="2"/>
  <c r="K595" i="2"/>
  <c r="M595" i="2" s="1"/>
  <c r="K596" i="2"/>
  <c r="M596" i="2" s="1"/>
  <c r="K597" i="2"/>
  <c r="M597" i="2" s="1"/>
  <c r="K598" i="2"/>
  <c r="M598" i="2" s="1"/>
  <c r="K599" i="2"/>
  <c r="M599" i="2" s="1"/>
  <c r="K600" i="2"/>
  <c r="M600" i="2" s="1"/>
  <c r="K601" i="2"/>
  <c r="M6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0F0AB-E20E-4834-8F54-C24F07B96683}" keepAlive="1" name="Запрос — _SELECT_u_city_AS_Город_TO_CHAR_f_rental_start_YYYY_MM_AS_Месяц__202609232054" description="Соединение с запросом &quot;_SELECT_u_city_AS_Город_TO_CHAR_f_rental_start_YYYY_MM_AS_Месяц__202609232054&quot; в книге." type="5" refreshedVersion="7" background="1" saveData="1">
    <dbPr connection="Provider=Microsoft.Mashup.OleDb.1;Data Source=$Workbook$;Location=_SELECT_u_city_AS_Город_TO_CHAR_f_rental_start_YYYY_MM_AS_Месяц__202609232054;Extended Properties=&quot;&quot;" command="SELECT * FROM [_SELECT_u_city_AS_Город_TO_CHAR_f_rental_start_YYYY_MM_AS_Месяц__202609232054]"/>
  </connection>
</connections>
</file>

<file path=xl/sharedStrings.xml><?xml version="1.0" encoding="utf-8"?>
<sst xmlns="http://schemas.openxmlformats.org/spreadsheetml/2006/main" count="1823" uniqueCount="632">
  <si>
    <t>Город</t>
  </si>
  <si>
    <t>Месяц</t>
  </si>
  <si>
    <t>Модель Девайса</t>
  </si>
  <si>
    <t>Количество Поездок</t>
  </si>
  <si>
    <t>Общий Пробег Км</t>
  </si>
  <si>
    <t>Валовая Выручка</t>
  </si>
  <si>
    <t>Чистая Выручка</t>
  </si>
  <si>
    <t>Расходы на Ремонт</t>
  </si>
  <si>
    <t>Екатеринбург</t>
  </si>
  <si>
    <t>GoPro Hero 11</t>
  </si>
  <si>
    <t>57802.67</t>
  </si>
  <si>
    <t>Monster Bike 20x</t>
  </si>
  <si>
    <t>54135.13</t>
  </si>
  <si>
    <t>Ninebot Max G30</t>
  </si>
  <si>
    <t>57744.36</t>
  </si>
  <si>
    <t>Xiaomi Mi Pro 2</t>
  </si>
  <si>
    <t>54908.35</t>
  </si>
  <si>
    <t>Казань</t>
  </si>
  <si>
    <t>55763.09</t>
  </si>
  <si>
    <t>55541.56</t>
  </si>
  <si>
    <t>58280.51</t>
  </si>
  <si>
    <t>55462.42</t>
  </si>
  <si>
    <t>Москва</t>
  </si>
  <si>
    <t>57623.90</t>
  </si>
  <si>
    <t>57818.00</t>
  </si>
  <si>
    <t>58399.66</t>
  </si>
  <si>
    <t>57378.55</t>
  </si>
  <si>
    <t>Новосибирск</t>
  </si>
  <si>
    <t>57442.33</t>
  </si>
  <si>
    <t>58192.43</t>
  </si>
  <si>
    <t>56709.61</t>
  </si>
  <si>
    <t>55826.12</t>
  </si>
  <si>
    <t>Санкт-Петербург</t>
  </si>
  <si>
    <t>57025.88</t>
  </si>
  <si>
    <t>55953.79</t>
  </si>
  <si>
    <t>56996.21</t>
  </si>
  <si>
    <t>56555.43</t>
  </si>
  <si>
    <t>55318.21</t>
  </si>
  <si>
    <t>55186.90</t>
  </si>
  <si>
    <t>56996.56</t>
  </si>
  <si>
    <t>54641.63</t>
  </si>
  <si>
    <t>55381.55</t>
  </si>
  <si>
    <t>56547.73</t>
  </si>
  <si>
    <t>54772.00</t>
  </si>
  <si>
    <t>53851.75</t>
  </si>
  <si>
    <t>55535.71</t>
  </si>
  <si>
    <t>56739.74</t>
  </si>
  <si>
    <t>55827.92</t>
  </si>
  <si>
    <t>55278.12</t>
  </si>
  <si>
    <t>54468.97</t>
  </si>
  <si>
    <t>54019.74</t>
  </si>
  <si>
    <t>56258.84</t>
  </si>
  <si>
    <t>52954.20</t>
  </si>
  <si>
    <t>53630.60</t>
  </si>
  <si>
    <t>54054.58</t>
  </si>
  <si>
    <t>55107.04</t>
  </si>
  <si>
    <t>54611.58</t>
  </si>
  <si>
    <t>60241.62</t>
  </si>
  <si>
    <t>57394.48</t>
  </si>
  <si>
    <t>59686.20</t>
  </si>
  <si>
    <t>58397.79</t>
  </si>
  <si>
    <t>57226.44</t>
  </si>
  <si>
    <t>58260.96</t>
  </si>
  <si>
    <t>58926.71</t>
  </si>
  <si>
    <t>59657.16</t>
  </si>
  <si>
    <t>59946.73</t>
  </si>
  <si>
    <t>60021.20</t>
  </si>
  <si>
    <t>59516.40</t>
  </si>
  <si>
    <t>61052.27</t>
  </si>
  <si>
    <t>56636.75</t>
  </si>
  <si>
    <t>56412.40</t>
  </si>
  <si>
    <t>58608.05</t>
  </si>
  <si>
    <t>57345.47</t>
  </si>
  <si>
    <t>58042.92</t>
  </si>
  <si>
    <t>56292.33</t>
  </si>
  <si>
    <t>60299.64</t>
  </si>
  <si>
    <t>57722.92</t>
  </si>
  <si>
    <t>58041.17</t>
  </si>
  <si>
    <t>55923.25</t>
  </si>
  <si>
    <t>54958.04</t>
  </si>
  <si>
    <t>56664.61</t>
  </si>
  <si>
    <t>57831.03</t>
  </si>
  <si>
    <t>56236.32</t>
  </si>
  <si>
    <t>58164.63</t>
  </si>
  <si>
    <t>55741.16</t>
  </si>
  <si>
    <t>57710.30</t>
  </si>
  <si>
    <t>56547.49</t>
  </si>
  <si>
    <t>58445.48</t>
  </si>
  <si>
    <t>59695.87</t>
  </si>
  <si>
    <t>56257.85</t>
  </si>
  <si>
    <t>53758.24</t>
  </si>
  <si>
    <t>55973.89</t>
  </si>
  <si>
    <t>54563.05</t>
  </si>
  <si>
    <t>56920.61</t>
  </si>
  <si>
    <t>55921.18</t>
  </si>
  <si>
    <t>58424.96</t>
  </si>
  <si>
    <t>54898.65</t>
  </si>
  <si>
    <t>60411.43</t>
  </si>
  <si>
    <t>56451.27</t>
  </si>
  <si>
    <t>57140.25</t>
  </si>
  <si>
    <t>56520.50</t>
  </si>
  <si>
    <t>57009.55</t>
  </si>
  <si>
    <t>56778.30</t>
  </si>
  <si>
    <t>58876.49</t>
  </si>
  <si>
    <t>56404.28</t>
  </si>
  <si>
    <t>59528.80</t>
  </si>
  <si>
    <t>57205.45</t>
  </si>
  <si>
    <t>59870.23</t>
  </si>
  <si>
    <t>56186.83</t>
  </si>
  <si>
    <t>58899.26</t>
  </si>
  <si>
    <t>56228.91</t>
  </si>
  <si>
    <t>55424.39</t>
  </si>
  <si>
    <t>55642.80</t>
  </si>
  <si>
    <t>58329.67</t>
  </si>
  <si>
    <t>54080.26</t>
  </si>
  <si>
    <t>57457.32</t>
  </si>
  <si>
    <t>54968.24</t>
  </si>
  <si>
    <t>55177.41</t>
  </si>
  <si>
    <t>56115.58</t>
  </si>
  <si>
    <t>55420.66</t>
  </si>
  <si>
    <t>55064.52</t>
  </si>
  <si>
    <t>59370.42</t>
  </si>
  <si>
    <t>58338.88</t>
  </si>
  <si>
    <t>58252.81</t>
  </si>
  <si>
    <t>57708.99</t>
  </si>
  <si>
    <t>57565.14</t>
  </si>
  <si>
    <t>57541.05</t>
  </si>
  <si>
    <t>58477.32</t>
  </si>
  <si>
    <t>55596.76</t>
  </si>
  <si>
    <t>56469.68</t>
  </si>
  <si>
    <t>55846.56</t>
  </si>
  <si>
    <t>58425.75</t>
  </si>
  <si>
    <t>55833.09</t>
  </si>
  <si>
    <t>57338.58</t>
  </si>
  <si>
    <t>56274.21</t>
  </si>
  <si>
    <t>56279.24</t>
  </si>
  <si>
    <t>55107.74</t>
  </si>
  <si>
    <t>56809.11</t>
  </si>
  <si>
    <t>55034.58</t>
  </si>
  <si>
    <t>58246.08</t>
  </si>
  <si>
    <t>55557.91</t>
  </si>
  <si>
    <t>57966.44</t>
  </si>
  <si>
    <t>56785.29</t>
  </si>
  <si>
    <t>57972.00</t>
  </si>
  <si>
    <t>57491.07</t>
  </si>
  <si>
    <t>58022.08</t>
  </si>
  <si>
    <t>54857.48</t>
  </si>
  <si>
    <t>58122.55</t>
  </si>
  <si>
    <t>56228.30</t>
  </si>
  <si>
    <t>56278.56</t>
  </si>
  <si>
    <t>53151.57</t>
  </si>
  <si>
    <t>56244.53</t>
  </si>
  <si>
    <t>55608.02</t>
  </si>
  <si>
    <t>56133.31</t>
  </si>
  <si>
    <t>56831.65</t>
  </si>
  <si>
    <t>57135.56</t>
  </si>
  <si>
    <t>54836.04</t>
  </si>
  <si>
    <t>55780.50</t>
  </si>
  <si>
    <t>56238.65</t>
  </si>
  <si>
    <t>56837.17</t>
  </si>
  <si>
    <t>54887.52</t>
  </si>
  <si>
    <t>56877.66</t>
  </si>
  <si>
    <t>56855.18</t>
  </si>
  <si>
    <t>56951.40</t>
  </si>
  <si>
    <t>56409.88</t>
  </si>
  <si>
    <t>58216.92</t>
  </si>
  <si>
    <t>57491.24</t>
  </si>
  <si>
    <t>59390.65</t>
  </si>
  <si>
    <t>55288.47</t>
  </si>
  <si>
    <t>56286.08</t>
  </si>
  <si>
    <t>56956.75</t>
  </si>
  <si>
    <t>56725.49</t>
  </si>
  <si>
    <t>54672.42</t>
  </si>
  <si>
    <t>56270.06</t>
  </si>
  <si>
    <t>55687.83</t>
  </si>
  <si>
    <t>57422.85</t>
  </si>
  <si>
    <t>55915.43</t>
  </si>
  <si>
    <t>57148.12</t>
  </si>
  <si>
    <t>56243.26</t>
  </si>
  <si>
    <t>58411.07</t>
  </si>
  <si>
    <t>55526.47</t>
  </si>
  <si>
    <t>55600.74</t>
  </si>
  <si>
    <t>55691.36</t>
  </si>
  <si>
    <t>59059.56</t>
  </si>
  <si>
    <t>56421.15</t>
  </si>
  <si>
    <t>58476.45</t>
  </si>
  <si>
    <t>57967.24</t>
  </si>
  <si>
    <t>58807.54</t>
  </si>
  <si>
    <t>56114.07</t>
  </si>
  <si>
    <t>53894.62</t>
  </si>
  <si>
    <t>55904.81</t>
  </si>
  <si>
    <t>56938.40</t>
  </si>
  <si>
    <t>56269.10</t>
  </si>
  <si>
    <t>55976.90</t>
  </si>
  <si>
    <t>57277.31</t>
  </si>
  <si>
    <t>56296.42</t>
  </si>
  <si>
    <t>55103.03</t>
  </si>
  <si>
    <t>56648.79</t>
  </si>
  <si>
    <t>56065.00</t>
  </si>
  <si>
    <t>56527.11</t>
  </si>
  <si>
    <t>55170.45</t>
  </si>
  <si>
    <t>59122.08</t>
  </si>
  <si>
    <t>58458.92</t>
  </si>
  <si>
    <t>56801.91</t>
  </si>
  <si>
    <t>55551.76</t>
  </si>
  <si>
    <t>57972.50</t>
  </si>
  <si>
    <t>58539.28</t>
  </si>
  <si>
    <t>57752.33</t>
  </si>
  <si>
    <t>55944.42</t>
  </si>
  <si>
    <t>54565.80</t>
  </si>
  <si>
    <t>55551.01</t>
  </si>
  <si>
    <t>57188.30</t>
  </si>
  <si>
    <t>56047.43</t>
  </si>
  <si>
    <t>58109.24</t>
  </si>
  <si>
    <t>58577.88</t>
  </si>
  <si>
    <t>58163.31</t>
  </si>
  <si>
    <t>55192.04</t>
  </si>
  <si>
    <t>56639.47</t>
  </si>
  <si>
    <t>55480.78</t>
  </si>
  <si>
    <t>56875.39</t>
  </si>
  <si>
    <t>55576.65</t>
  </si>
  <si>
    <t>57861.58</t>
  </si>
  <si>
    <t>55281.32</t>
  </si>
  <si>
    <t>58393.82</t>
  </si>
  <si>
    <t>55857.36</t>
  </si>
  <si>
    <t>59673.59</t>
  </si>
  <si>
    <t>58430.03</t>
  </si>
  <si>
    <t>57153.55</t>
  </si>
  <si>
    <t>57005.23</t>
  </si>
  <si>
    <t>57562.74</t>
  </si>
  <si>
    <t>55820.55</t>
  </si>
  <si>
    <t>55992.91</t>
  </si>
  <si>
    <t>56085.12</t>
  </si>
  <si>
    <t>56809.82</t>
  </si>
  <si>
    <t>55937.35</t>
  </si>
  <si>
    <t>57747.33</t>
  </si>
  <si>
    <t>53503.09</t>
  </si>
  <si>
    <t>58645.71</t>
  </si>
  <si>
    <t>55475.05</t>
  </si>
  <si>
    <t>58429.01</t>
  </si>
  <si>
    <t>57043.48</t>
  </si>
  <si>
    <t>57927.09</t>
  </si>
  <si>
    <t>56070.17</t>
  </si>
  <si>
    <t>57720.18</t>
  </si>
  <si>
    <t>57393.09</t>
  </si>
  <si>
    <t>59414.20</t>
  </si>
  <si>
    <t>57266.78</t>
  </si>
  <si>
    <t>59867.67</t>
  </si>
  <si>
    <t>55263.89</t>
  </si>
  <si>
    <t>56109.73</t>
  </si>
  <si>
    <t>56698.34</t>
  </si>
  <si>
    <t>56274.89</t>
  </si>
  <si>
    <t>55077.79</t>
  </si>
  <si>
    <t>55362.98</t>
  </si>
  <si>
    <t>57116.55</t>
  </si>
  <si>
    <t>57444.70</t>
  </si>
  <si>
    <t>56029.31</t>
  </si>
  <si>
    <t>58537.41</t>
  </si>
  <si>
    <t>57154.38</t>
  </si>
  <si>
    <t>55988.76</t>
  </si>
  <si>
    <t>56550.69</t>
  </si>
  <si>
    <t>58397.46</t>
  </si>
  <si>
    <t>56127.34</t>
  </si>
  <si>
    <t>58929.34</t>
  </si>
  <si>
    <t>56057.25</t>
  </si>
  <si>
    <t>57100.82</t>
  </si>
  <si>
    <t>58320.33</t>
  </si>
  <si>
    <t>58724.11</t>
  </si>
  <si>
    <t>56953.29</t>
  </si>
  <si>
    <t>55628.70</t>
  </si>
  <si>
    <t>55524.44</t>
  </si>
  <si>
    <t>57355.39</t>
  </si>
  <si>
    <t>56808.85</t>
  </si>
  <si>
    <t>56266.19</t>
  </si>
  <si>
    <t>55906.95</t>
  </si>
  <si>
    <t>56639.22</t>
  </si>
  <si>
    <t>55573.61</t>
  </si>
  <si>
    <t>55165.08</t>
  </si>
  <si>
    <t>50069.20</t>
  </si>
  <si>
    <t>53587.89</t>
  </si>
  <si>
    <t>51654.78</t>
  </si>
  <si>
    <t>52658.58</t>
  </si>
  <si>
    <t>53880.59</t>
  </si>
  <si>
    <t>53367.99</t>
  </si>
  <si>
    <t>51116.55</t>
  </si>
  <si>
    <t>53542.54</t>
  </si>
  <si>
    <t>54596.61</t>
  </si>
  <si>
    <t>54062.69</t>
  </si>
  <si>
    <t>52664.74</t>
  </si>
  <si>
    <t>53907.99</t>
  </si>
  <si>
    <t>52128.94</t>
  </si>
  <si>
    <t>52926.16</t>
  </si>
  <si>
    <t>50636.10</t>
  </si>
  <si>
    <t>51617.86</t>
  </si>
  <si>
    <t>50687.79</t>
  </si>
  <si>
    <t>52047.82</t>
  </si>
  <si>
    <t>51803.42</t>
  </si>
  <si>
    <t>62150.71</t>
  </si>
  <si>
    <t>59252.39</t>
  </si>
  <si>
    <t>60837.63</t>
  </si>
  <si>
    <t>60643.85</t>
  </si>
  <si>
    <t>61992.41</t>
  </si>
  <si>
    <t>60386.80</t>
  </si>
  <si>
    <t>59876.99</t>
  </si>
  <si>
    <t>60404.75</t>
  </si>
  <si>
    <t>59390.30</t>
  </si>
  <si>
    <t>60349.41</t>
  </si>
  <si>
    <t>61771.11</t>
  </si>
  <si>
    <t>61765.94</t>
  </si>
  <si>
    <t>61672.62</t>
  </si>
  <si>
    <t>59648.10</t>
  </si>
  <si>
    <t>60387.04</t>
  </si>
  <si>
    <t>58815.00</t>
  </si>
  <si>
    <t>59872.97</t>
  </si>
  <si>
    <t>58293.01</t>
  </si>
  <si>
    <t>59999.35</t>
  </si>
  <si>
    <t>59296.17</t>
  </si>
  <si>
    <t>57111.96</t>
  </si>
  <si>
    <t>57448.84</t>
  </si>
  <si>
    <t>56568.80</t>
  </si>
  <si>
    <t>55908.91</t>
  </si>
  <si>
    <t>57426.94</t>
  </si>
  <si>
    <t>56291.37</t>
  </si>
  <si>
    <t>57079.43</t>
  </si>
  <si>
    <t>56581.47</t>
  </si>
  <si>
    <t>59431.54</t>
  </si>
  <si>
    <t>57429.58</t>
  </si>
  <si>
    <t>57091.87</t>
  </si>
  <si>
    <t>56447.51</t>
  </si>
  <si>
    <t>56274.68</t>
  </si>
  <si>
    <t>55173.91</t>
  </si>
  <si>
    <t>56695.96</t>
  </si>
  <si>
    <t>54778.52</t>
  </si>
  <si>
    <t>58517.68</t>
  </si>
  <si>
    <t>56599.65</t>
  </si>
  <si>
    <t>58052.69</t>
  </si>
  <si>
    <t>55368.18</t>
  </si>
  <si>
    <t>57226.82</t>
  </si>
  <si>
    <t>56040.18</t>
  </si>
  <si>
    <t>58491.07</t>
  </si>
  <si>
    <t>56143.47</t>
  </si>
  <si>
    <t>55784.62</t>
  </si>
  <si>
    <t>57462.43</t>
  </si>
  <si>
    <t>56579.17</t>
  </si>
  <si>
    <t>55848.78</t>
  </si>
  <si>
    <t>57061.97</t>
  </si>
  <si>
    <t>59263.82</t>
  </si>
  <si>
    <t>57019.93</t>
  </si>
  <si>
    <t>56324.03</t>
  </si>
  <si>
    <t>56909.59</t>
  </si>
  <si>
    <t>55258.54</t>
  </si>
  <si>
    <t>56580.86</t>
  </si>
  <si>
    <t>55078.57</t>
  </si>
  <si>
    <t>57322.34</t>
  </si>
  <si>
    <t>58025.48</t>
  </si>
  <si>
    <t>58391.25</t>
  </si>
  <si>
    <t>57216.02</t>
  </si>
  <si>
    <t>57080.49</t>
  </si>
  <si>
    <t>57132.58</t>
  </si>
  <si>
    <t>59377.57</t>
  </si>
  <si>
    <t>56381.87</t>
  </si>
  <si>
    <t>58488.85</t>
  </si>
  <si>
    <t>58294.90</t>
  </si>
  <si>
    <t>59141.37</t>
  </si>
  <si>
    <t>57069.85</t>
  </si>
  <si>
    <t>57607.21</t>
  </si>
  <si>
    <t>57880.93</t>
  </si>
  <si>
    <t>57158.05</t>
  </si>
  <si>
    <t>57542.50</t>
  </si>
  <si>
    <t>56492.32</t>
  </si>
  <si>
    <t>55872.45</t>
  </si>
  <si>
    <t>58094.29</t>
  </si>
  <si>
    <t>54502.58</t>
  </si>
  <si>
    <t>57336.71</t>
  </si>
  <si>
    <t>57735.37</t>
  </si>
  <si>
    <t>57821.72</t>
  </si>
  <si>
    <t>55391.58</t>
  </si>
  <si>
    <t>58758.73</t>
  </si>
  <si>
    <t>56218.08</t>
  </si>
  <si>
    <t>58347.58</t>
  </si>
  <si>
    <t>54747.76</t>
  </si>
  <si>
    <t>55690.14</t>
  </si>
  <si>
    <t>56938.88</t>
  </si>
  <si>
    <t>57591.81</t>
  </si>
  <si>
    <t>55311.41</t>
  </si>
  <si>
    <t>58131.85</t>
  </si>
  <si>
    <t>57516.54</t>
  </si>
  <si>
    <t>58528.25</t>
  </si>
  <si>
    <t>57673.59</t>
  </si>
  <si>
    <t>56855.93</t>
  </si>
  <si>
    <t>54599.53</t>
  </si>
  <si>
    <t>56590.28</t>
  </si>
  <si>
    <t>55780.66</t>
  </si>
  <si>
    <t>55946.62</t>
  </si>
  <si>
    <t>55266.27</t>
  </si>
  <si>
    <t>56539.66</t>
  </si>
  <si>
    <t>55894.01</t>
  </si>
  <si>
    <t>57919.60</t>
  </si>
  <si>
    <t>57230.56</t>
  </si>
  <si>
    <t>57987.24</t>
  </si>
  <si>
    <t>55597.06</t>
  </si>
  <si>
    <t>57006.76</t>
  </si>
  <si>
    <t>58560.50</t>
  </si>
  <si>
    <t>56945.58</t>
  </si>
  <si>
    <t>57824.96</t>
  </si>
  <si>
    <t>57451.41</t>
  </si>
  <si>
    <t>58249.52</t>
  </si>
  <si>
    <t>59791.73</t>
  </si>
  <si>
    <t>55334.34</t>
  </si>
  <si>
    <t>55247.88</t>
  </si>
  <si>
    <t>55397.72</t>
  </si>
  <si>
    <t>57488.24</t>
  </si>
  <si>
    <t>53802.36</t>
  </si>
  <si>
    <t>57333.19</t>
  </si>
  <si>
    <t>56016.87</t>
  </si>
  <si>
    <t>57865.77</t>
  </si>
  <si>
    <t>54905.63</t>
  </si>
  <si>
    <t>57333.42</t>
  </si>
  <si>
    <t>56658.80</t>
  </si>
  <si>
    <t>55762.94</t>
  </si>
  <si>
    <t>57612.34</t>
  </si>
  <si>
    <t>56390.43</t>
  </si>
  <si>
    <t>57621.19</t>
  </si>
  <si>
    <t>57510.49</t>
  </si>
  <si>
    <t>55772.14</t>
  </si>
  <si>
    <t>58525.01</t>
  </si>
  <si>
    <t>57783.53</t>
  </si>
  <si>
    <t>58514.99</t>
  </si>
  <si>
    <t>57564.81</t>
  </si>
  <si>
    <t>57108.22</t>
  </si>
  <si>
    <t>56050.32</t>
  </si>
  <si>
    <t>56976.11</t>
  </si>
  <si>
    <t>55071.67</t>
  </si>
  <si>
    <t>58222.03</t>
  </si>
  <si>
    <t>54630.24</t>
  </si>
  <si>
    <t>57532.37</t>
  </si>
  <si>
    <t>56454.33</t>
  </si>
  <si>
    <t>57521.37</t>
  </si>
  <si>
    <t>57688.75</t>
  </si>
  <si>
    <t>57527.75</t>
  </si>
  <si>
    <t>53815.10</t>
  </si>
  <si>
    <t>58916.94</t>
  </si>
  <si>
    <t>57441.46</t>
  </si>
  <si>
    <t>58085.68</t>
  </si>
  <si>
    <t>56442.10</t>
  </si>
  <si>
    <t>58104.35</t>
  </si>
  <si>
    <t>57419.00</t>
  </si>
  <si>
    <t>57734.73</t>
  </si>
  <si>
    <t>56457.12</t>
  </si>
  <si>
    <t>55701.87</t>
  </si>
  <si>
    <t>56685.11</t>
  </si>
  <si>
    <t>57841.11</t>
  </si>
  <si>
    <t>55310.98</t>
  </si>
  <si>
    <t>57514.31</t>
  </si>
  <si>
    <t>56399.01</t>
  </si>
  <si>
    <t>58182.01</t>
  </si>
  <si>
    <t>54653.93</t>
  </si>
  <si>
    <t>57720.14</t>
  </si>
  <si>
    <t>56709.81</t>
  </si>
  <si>
    <t>57544.67</t>
  </si>
  <si>
    <t>56466.48</t>
  </si>
  <si>
    <t>58653.72</t>
  </si>
  <si>
    <t>57549.85</t>
  </si>
  <si>
    <t>57224.11</t>
  </si>
  <si>
    <t>55290.76</t>
  </si>
  <si>
    <t>59666.96</t>
  </si>
  <si>
    <t>57709.97</t>
  </si>
  <si>
    <t>58014.64</t>
  </si>
  <si>
    <t>57834.07</t>
  </si>
  <si>
    <t>56875.62</t>
  </si>
  <si>
    <t>55722.56</t>
  </si>
  <si>
    <t>56804.30</t>
  </si>
  <si>
    <t>54655.83</t>
  </si>
  <si>
    <t>56579.96</t>
  </si>
  <si>
    <t>56520.51</t>
  </si>
  <si>
    <t>57686.00</t>
  </si>
  <si>
    <t>55297.14</t>
  </si>
  <si>
    <t>56136.74</t>
  </si>
  <si>
    <t>55276.38</t>
  </si>
  <si>
    <t>57845.67</t>
  </si>
  <si>
    <t>55998.41</t>
  </si>
  <si>
    <t>58556.18</t>
  </si>
  <si>
    <t>57843.26</t>
  </si>
  <si>
    <t>58076.87</t>
  </si>
  <si>
    <t>54310.99</t>
  </si>
  <si>
    <t>57044.53</t>
  </si>
  <si>
    <t>57617.72</t>
  </si>
  <si>
    <t>57807.79</t>
  </si>
  <si>
    <t>57259.31</t>
  </si>
  <si>
    <t>56723.55</t>
  </si>
  <si>
    <t>54826.71</t>
  </si>
  <si>
    <t>56624.42</t>
  </si>
  <si>
    <t>56415.31</t>
  </si>
  <si>
    <t>56471.12</t>
  </si>
  <si>
    <t>54944.63</t>
  </si>
  <si>
    <t>57563.17</t>
  </si>
  <si>
    <t>56395.69</t>
  </si>
  <si>
    <t>57382.78</t>
  </si>
  <si>
    <t>54947.65</t>
  </si>
  <si>
    <t>56818.97</t>
  </si>
  <si>
    <t>55881.01</t>
  </si>
  <si>
    <t>56644.65</t>
  </si>
  <si>
    <t>56310.32</t>
  </si>
  <si>
    <t>57454.95</t>
  </si>
  <si>
    <t>56814.02</t>
  </si>
  <si>
    <t>59125.58</t>
  </si>
  <si>
    <t>57441.19</t>
  </si>
  <si>
    <t>58498.28</t>
  </si>
  <si>
    <t>57095.10</t>
  </si>
  <si>
    <t>56640.96</t>
  </si>
  <si>
    <t>57618.23</t>
  </si>
  <si>
    <t>55945.90</t>
  </si>
  <si>
    <t>54790.05</t>
  </si>
  <si>
    <t>56162.95</t>
  </si>
  <si>
    <t>58385.11</t>
  </si>
  <si>
    <t>58245.09</t>
  </si>
  <si>
    <t>53735.74</t>
  </si>
  <si>
    <t>53690.87</t>
  </si>
  <si>
    <t>54416.27</t>
  </si>
  <si>
    <t>54511.56</t>
  </si>
  <si>
    <t>50601.72</t>
  </si>
  <si>
    <t>54754.55</t>
  </si>
  <si>
    <t>52750.07</t>
  </si>
  <si>
    <t>53537.57</t>
  </si>
  <si>
    <t>53185.61</t>
  </si>
  <si>
    <t>54249.26</t>
  </si>
  <si>
    <t>55422.73</t>
  </si>
  <si>
    <t>53715.73</t>
  </si>
  <si>
    <t>53707.08</t>
  </si>
  <si>
    <t>52019.62</t>
  </si>
  <si>
    <t>53808.29</t>
  </si>
  <si>
    <t>53566.21</t>
  </si>
  <si>
    <t>52516.83</t>
  </si>
  <si>
    <t>53778.37</t>
  </si>
  <si>
    <t>50571.40</t>
  </si>
  <si>
    <t>53670.80</t>
  </si>
  <si>
    <t>50654.96</t>
  </si>
  <si>
    <t>60905.84</t>
  </si>
  <si>
    <t>60336.44</t>
  </si>
  <si>
    <t>61559.68</t>
  </si>
  <si>
    <t>59472.77</t>
  </si>
  <si>
    <t>61167.24</t>
  </si>
  <si>
    <t>58650.84</t>
  </si>
  <si>
    <t>60725.53</t>
  </si>
  <si>
    <t>60275.73</t>
  </si>
  <si>
    <t>61959.91</t>
  </si>
  <si>
    <t>61291.23</t>
  </si>
  <si>
    <t>63387.45</t>
  </si>
  <si>
    <t>59830.51</t>
  </si>
  <si>
    <t>61786.31</t>
  </si>
  <si>
    <t>59461.24</t>
  </si>
  <si>
    <t>58205.34</t>
  </si>
  <si>
    <t>60287.66</t>
  </si>
  <si>
    <t>60567.26</t>
  </si>
  <si>
    <t>60316.54</t>
  </si>
  <si>
    <t>60970.36</t>
  </si>
  <si>
    <t>60407.95</t>
  </si>
  <si>
    <t>57688.59</t>
  </si>
  <si>
    <t>55412.13</t>
  </si>
  <si>
    <t>58225.09</t>
  </si>
  <si>
    <t>55508.12</t>
  </si>
  <si>
    <t>57720.60</t>
  </si>
  <si>
    <t>55142.01</t>
  </si>
  <si>
    <t>57019.34</t>
  </si>
  <si>
    <t>57034.33</t>
  </si>
  <si>
    <t>57813.23</t>
  </si>
  <si>
    <t>57627.76</t>
  </si>
  <si>
    <t>59296.58</t>
  </si>
  <si>
    <t>56920.82</t>
  </si>
  <si>
    <t>57766.94</t>
  </si>
  <si>
    <t>55278.08</t>
  </si>
  <si>
    <t>56789.42</t>
  </si>
  <si>
    <t>54672.06</t>
  </si>
  <si>
    <t>54220.35</t>
  </si>
  <si>
    <t>57721.40</t>
  </si>
  <si>
    <t>56214.48</t>
  </si>
  <si>
    <t>54925.46</t>
  </si>
  <si>
    <t>57667.36</t>
  </si>
  <si>
    <t>56406.01</t>
  </si>
  <si>
    <t>55837.27</t>
  </si>
  <si>
    <t>56413.63</t>
  </si>
  <si>
    <t>59832.46</t>
  </si>
  <si>
    <t>57210.88</t>
  </si>
  <si>
    <t>58297.30</t>
  </si>
  <si>
    <t>54983.21</t>
  </si>
  <si>
    <t>58630.44</t>
  </si>
  <si>
    <t>57991.79</t>
  </si>
  <si>
    <t>58428.57</t>
  </si>
  <si>
    <t>57530.74</t>
  </si>
  <si>
    <t>56985.13</t>
  </si>
  <si>
    <t>56900.47</t>
  </si>
  <si>
    <t>59438.61</t>
  </si>
  <si>
    <t>55486.77</t>
  </si>
  <si>
    <t>56763.57</t>
  </si>
  <si>
    <t>55817.89</t>
  </si>
  <si>
    <t>57843.54</t>
  </si>
  <si>
    <t>55539.71</t>
  </si>
  <si>
    <t>56001.60</t>
  </si>
  <si>
    <t>57231.75</t>
  </si>
  <si>
    <t>56429.87</t>
  </si>
  <si>
    <t>56367.24</t>
  </si>
  <si>
    <t>55310.02</t>
  </si>
  <si>
    <t>55417.39</t>
  </si>
  <si>
    <t>56723.14</t>
  </si>
  <si>
    <t>55427.02</t>
  </si>
  <si>
    <t>58046.34</t>
  </si>
  <si>
    <t>58644.32</t>
  </si>
  <si>
    <t>59823.26</t>
  </si>
  <si>
    <t>55602.54</t>
  </si>
  <si>
    <t>58610.24</t>
  </si>
  <si>
    <t>56681.23</t>
  </si>
  <si>
    <t>56066.76</t>
  </si>
  <si>
    <t>54251.56</t>
  </si>
  <si>
    <t>58178.57</t>
  </si>
  <si>
    <t>55968.30</t>
  </si>
  <si>
    <t>56960.26</t>
  </si>
  <si>
    <t>55671.71</t>
  </si>
  <si>
    <t>Параметры сценария</t>
  </si>
  <si>
    <t>Изменение цены тарифа</t>
  </si>
  <si>
    <t>Изменение стоимости ремонта</t>
  </si>
  <si>
    <t>Прогноз Выручки</t>
  </si>
  <si>
    <t>Прогноз Расходов</t>
  </si>
  <si>
    <t>Прогноз Прибыли</t>
  </si>
  <si>
    <t>Названия строк</t>
  </si>
  <si>
    <t>Общий итог</t>
  </si>
  <si>
    <t>2024</t>
  </si>
  <si>
    <t>2025</t>
  </si>
  <si>
    <t>2026</t>
  </si>
  <si>
    <t>Сумма по полю Чистая Выручка</t>
  </si>
  <si>
    <t>Сумма по полю Расходы на Ремонт</t>
  </si>
  <si>
    <t>Сумма по полю Прогноз Прибыли</t>
  </si>
  <si>
    <t>Сумма по полю Базовая 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</si>
</sst>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9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11"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[Financial_Model_What_If.xlsx]Лист2!Сводная таблица1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Сумма по полю Чистая 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Лист2!$B$4:$B$7</c:f>
              <c:numCache>
                <c:formatCode>#,##0</c:formatCode>
                <c:ptCount val="3"/>
                <c:pt idx="0">
                  <c:v>693636844.9199996</c:v>
                </c:pt>
                <c:pt idx="1">
                  <c:v>694707049.06999981</c:v>
                </c:pt>
                <c:pt idx="2">
                  <c:v>347060958.11000019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4-41F4-B97F-E78333D885C3}"/>
            </c:ext>
          </c:extLst>
        </c:ser>
        <c:ser>
          <c:idx val="1"/>
          <c:order val="1"/>
          <c:tx>
            <c:strRef>
              <c:f>Лист2!$C$3</c:f>
              <c:strCache>
                <c:ptCount val="1"/>
                <c:pt idx="0">
                  <c:v>Сумма по полю Расходы на Ремонт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Лист2!$C$4:$C$7</c:f>
              <c:numCache>
                <c:formatCode>#,##0</c:formatCode>
                <c:ptCount val="3"/>
                <c:pt idx="0">
                  <c:v>15625420.401000004</c:v>
                </c:pt>
                <c:pt idx="1">
                  <c:v>15653892.95900001</c:v>
                </c:pt>
                <c:pt idx="2">
                  <c:v>7830028.1859999998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4-41F4-B97F-E78333D885C3}"/>
            </c:ext>
          </c:extLst>
        </c:ser>
        <c:ser>
          <c:idx val="2"/>
          <c:order val="2"/>
          <c:tx>
            <c:strRef>
              <c:f>Лист2!$D$3</c:f>
              <c:strCache>
                <c:ptCount val="1"/>
                <c:pt idx="0">
                  <c:v>Сумма по полю Прогноз Прибыли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Лист2!$D$4:$D$7</c:f>
              <c:numCache>
                <c:formatCode>#,##0</c:formatCode>
                <c:ptCount val="3"/>
                <c:pt idx="0">
                  <c:v>678011424.51900029</c:v>
                </c:pt>
                <c:pt idx="1">
                  <c:v>679053156.1109997</c:v>
                </c:pt>
                <c:pt idx="2">
                  <c:v>339230929.92399997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A4-41F4-B97F-E78333D885C3}"/>
            </c:ext>
          </c:extLst>
        </c:ser>
        <c:ser>
          <c:idx val="3"/>
          <c:order val="3"/>
          <c:tx>
            <c:strRef>
              <c:f>Лист2!$E$3</c:f>
              <c:strCache>
                <c:ptCount val="1"/>
                <c:pt idx="0">
                  <c:v>Сумма по полю Базовая Прибыль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Лист2!$E$4:$E$7</c:f>
              <c:numCache>
                <c:formatCode>#,##0</c:formatCode>
                <c:ptCount val="3"/>
                <c:pt idx="0">
                  <c:v>678011424.51899958</c:v>
                </c:pt>
                <c:pt idx="1">
                  <c:v>679053156.11099982</c:v>
                </c:pt>
                <c:pt idx="2">
                  <c:v>339230929.9240002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A4-41F4-B97F-E78333D88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154015"/>
        <c:axId val="1180153183"/>
      </c:lineChart>
      <c:catAx>
        <c:axId val="118015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0153183"/>
        <c:crosses val="autoZero"/>
        <c:auto val="1"/>
        <c:lblAlgn val="ctr"/>
        <c:lblOffset val="100"/>
        <c:noMultiLvlLbl val="0"/>
      </c:catAx>
      <c:valAx>
        <c:axId val="118015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015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451183</xdr:colOff>
      <xdr:row>8</xdr:row>
      <xdr:rowOff>12031</xdr:rowOff>
    </xdr:from>
    <xdr:to>
      <xdr:col>4</xdr:col>
      <xdr:colOff>2145632</xdr:colOff>
      <xdr:row>28</xdr:row>
      <xdr:rowOff>130342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C5C442-C0BA-4F4E-AC5E-651B2A914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8.888144560187" createdVersion="7" refreshedVersion="7" minRefreshableVersion="3" recordCount="600" xr:uid="{A2FCA702-2C58-4CC8-85C8-4E5E922DE318}">
  <cacheSource type="worksheet">
    <worksheetSource name="_SELECT_u_city_AS_Город_TO_CHAR_f_rental_start_YYYY_MM_AS_Месяц__202609232054"/>
  </cacheSource>
  <cacheFields count="14">
    <cacheField name="Город" numFmtId="0">
      <sharedItems/>
    </cacheField>
    <cacheField name="Месяц" numFmtId="14">
      <sharedItems containsSemiMixedTypes="0" containsNonDate="0" containsDate="1" containsString="0" minDate="2024-01-01T00:00:00" maxDate="2026-06-02T00:00:00" count="30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</sharedItems>
      <fieldGroup par="12" base="1">
        <rangePr groupBy="months" startDate="2024-01-01T00:00:00" endDate="2026-06-02T00:00:00"/>
        <groupItems count="14">
          <s v="&lt;01.01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6.2026"/>
        </groupItems>
      </fieldGroup>
    </cacheField>
    <cacheField name="Модель Девайса" numFmtId="0">
      <sharedItems/>
    </cacheField>
    <cacheField name="Количество Поездок" numFmtId="0">
      <sharedItems containsSemiMixedTypes="0" containsString="0" containsNumber="1" containsInteger="1" minValue="3686" maxValue="4645"/>
    </cacheField>
    <cacheField name="Общий Пробег Км" numFmtId="0">
      <sharedItems/>
    </cacheField>
    <cacheField name="Валовая Выручка" numFmtId="0">
      <sharedItems containsSemiMixedTypes="0" containsString="0" containsNumber="1" minValue="2579647.5" maxValue="3246355"/>
    </cacheField>
    <cacheField name="Чистая Выручка" numFmtId="0">
      <sharedItems containsSemiMixedTypes="0" containsString="0" containsNumber="1" minValue="2566299.29" maxValue="3231376.33"/>
    </cacheField>
    <cacheField name="Расходы на Ремонт" numFmtId="0">
      <sharedItems containsSemiMixedTypes="0" containsString="0" containsNumber="1" minValue="0" maxValue="153228.07500000001"/>
    </cacheField>
    <cacheField name="Прогноз Выручки" numFmtId="0">
      <sharedItems containsSemiMixedTypes="0" containsString="0" containsNumber="1" minValue="2566299.29" maxValue="3231376.33"/>
    </cacheField>
    <cacheField name="Прогноз Расходов" numFmtId="0">
      <sharedItems containsSemiMixedTypes="0" containsString="0" containsNumber="1" minValue="0" maxValue="153228.07500000001"/>
    </cacheField>
    <cacheField name="Прогноз Прибыли" numFmtId="0">
      <sharedItems containsSemiMixedTypes="0" containsString="0" containsNumber="1" minValue="2439579.8149999999" maxValue="3156779.45"/>
    </cacheField>
    <cacheField name="Кварталы" numFmtId="0" databaseField="0">
      <fieldGroup base="1">
        <rangePr groupBy="quarters" startDate="2024-01-01T00:00:00" endDate="2026-06-02T00:00:00"/>
        <groupItems count="6">
          <s v="&lt;01.01.2024"/>
          <s v="Кв-л1"/>
          <s v="Кв-л2"/>
          <s v="Кв-л3"/>
          <s v="Кв-л4"/>
          <s v="&gt;02.06.2026"/>
        </groupItems>
      </fieldGroup>
    </cacheField>
    <cacheField name="Годы" numFmtId="0" databaseField="0">
      <fieldGroup base="1">
        <rangePr groupBy="years" startDate="2024-01-01T00:00:00" endDate="2026-06-02T00:00:00"/>
        <groupItems count="5">
          <s v="&lt;01.01.2024"/>
          <s v="2024"/>
          <s v="2025"/>
          <s v="2026"/>
          <s v="&gt;02.06.2026"/>
        </groupItems>
      </fieldGroup>
    </cacheField>
    <cacheField name="Базовая Прибыль" numFmtId="0" formula="'Чистая Выручка' -'Расходы на Ремонт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Екатеринбург"/>
    <x v="0"/>
    <s v="GoPro Hero 11"/>
    <n v="4218"/>
    <s v="57802.67"/>
    <n v="2924906"/>
    <n v="2908884.36"/>
    <n v="0"/>
    <n v="2908884.36"/>
    <n v="0"/>
    <n v="2908884.36"/>
  </r>
  <r>
    <s v="Екатеринбург"/>
    <x v="0"/>
    <s v="Monster Bike 20x"/>
    <n v="4027"/>
    <s v="54135.13"/>
    <n v="2774622.5"/>
    <n v="2761105.44"/>
    <n v="135337.82500000001"/>
    <n v="2761105.44"/>
    <n v="135337.82500000001"/>
    <n v="2625767.6149999998"/>
  </r>
  <r>
    <s v="Екатеринбург"/>
    <x v="0"/>
    <s v="Ninebot Max G30"/>
    <n v="4254"/>
    <s v="57744.36"/>
    <n v="2959224"/>
    <n v="2945186.94"/>
    <n v="69293.232000000004"/>
    <n v="2945186.94"/>
    <n v="69293.232000000004"/>
    <n v="2875893.7080000001"/>
  </r>
  <r>
    <s v="Екатеринбург"/>
    <x v="0"/>
    <s v="Xiaomi Mi Pro 2"/>
    <n v="4052"/>
    <s v="54908.35"/>
    <n v="2841393.5"/>
    <n v="2826412.54"/>
    <n v="49417.514999999999"/>
    <n v="2826412.54"/>
    <n v="49417.514999999999"/>
    <n v="2776995.0249999999"/>
  </r>
  <r>
    <s v="Казань"/>
    <x v="0"/>
    <s v="GoPro Hero 11"/>
    <n v="4135"/>
    <s v="55763.09"/>
    <n v="2878980.5"/>
    <n v="2865737.32"/>
    <n v="0"/>
    <n v="2865737.32"/>
    <n v="0"/>
    <n v="2865737.32"/>
  </r>
  <r>
    <s v="Казань"/>
    <x v="0"/>
    <s v="Monster Bike 20x"/>
    <n v="4047"/>
    <s v="55541.56"/>
    <n v="2815824"/>
    <n v="2802208.82"/>
    <n v="138853.9"/>
    <n v="2802208.82"/>
    <n v="138853.9"/>
    <n v="2663354.92"/>
  </r>
  <r>
    <s v="Казань"/>
    <x v="0"/>
    <s v="Ninebot Max G30"/>
    <n v="4253"/>
    <s v="58280.51"/>
    <n v="2989701"/>
    <n v="2973783.33"/>
    <n v="69936.611999999994"/>
    <n v="2973783.33"/>
    <n v="69936.611999999994"/>
    <n v="2903846.7179999999"/>
  </r>
  <r>
    <s v="Казань"/>
    <x v="0"/>
    <s v="Xiaomi Mi Pro 2"/>
    <n v="4077"/>
    <s v="55462.42"/>
    <n v="2841875.5"/>
    <n v="2827414.89"/>
    <n v="49916.178"/>
    <n v="2827414.89"/>
    <n v="49916.178"/>
    <n v="2777498.7120000003"/>
  </r>
  <r>
    <s v="Москва"/>
    <x v="0"/>
    <s v="GoPro Hero 11"/>
    <n v="4263"/>
    <s v="57623.90"/>
    <n v="2968752.5"/>
    <n v="2954237.83"/>
    <n v="0"/>
    <n v="2954237.83"/>
    <n v="0"/>
    <n v="2954237.83"/>
  </r>
  <r>
    <s v="Москва"/>
    <x v="0"/>
    <s v="Monster Bike 20x"/>
    <n v="4224"/>
    <s v="57818.00"/>
    <n v="2957882.5"/>
    <n v="2943455.83"/>
    <n v="144545"/>
    <n v="2943455.83"/>
    <n v="144545"/>
    <n v="2798910.83"/>
  </r>
  <r>
    <s v="Москва"/>
    <x v="0"/>
    <s v="Ninebot Max G30"/>
    <n v="4237"/>
    <s v="58399.66"/>
    <n v="2969284"/>
    <n v="2954833.02"/>
    <n v="70079.592000000004"/>
    <n v="2954833.02"/>
    <n v="70079.592000000004"/>
    <n v="2884753.4279999998"/>
  </r>
  <r>
    <s v="Москва"/>
    <x v="0"/>
    <s v="Xiaomi Mi Pro 2"/>
    <n v="4152"/>
    <s v="57378.55"/>
    <n v="2922852.5"/>
    <n v="2910266.74"/>
    <n v="51640.695"/>
    <n v="2910266.74"/>
    <n v="51640.695"/>
    <n v="2858626.0450000004"/>
  </r>
  <r>
    <s v="Новосибирск"/>
    <x v="0"/>
    <s v="GoPro Hero 11"/>
    <n v="4247"/>
    <s v="57442.33"/>
    <n v="2951384.5"/>
    <n v="2937640.78"/>
    <n v="0"/>
    <n v="2937640.78"/>
    <n v="0"/>
    <n v="2937640.78"/>
  </r>
  <r>
    <s v="Новосибирск"/>
    <x v="0"/>
    <s v="Monster Bike 20x"/>
    <n v="4215"/>
    <s v="58192.43"/>
    <n v="2974253.5"/>
    <n v="2961006.63"/>
    <n v="145481.07500000001"/>
    <n v="2961006.63"/>
    <n v="145481.07500000001"/>
    <n v="2815525.5549999997"/>
  </r>
  <r>
    <s v="Новосибирск"/>
    <x v="0"/>
    <s v="Ninebot Max G30"/>
    <n v="4171"/>
    <s v="56709.61"/>
    <n v="2885011"/>
    <n v="2871136.38"/>
    <n v="68051.532000000007"/>
    <n v="2871136.38"/>
    <n v="68051.532000000007"/>
    <n v="2803084.8479999998"/>
  </r>
  <r>
    <s v="Новосибирск"/>
    <x v="0"/>
    <s v="Xiaomi Mi Pro 2"/>
    <n v="4008"/>
    <s v="55826.12"/>
    <n v="2807796.5"/>
    <n v="2794148.27"/>
    <n v="50243.508000000002"/>
    <n v="2794148.27"/>
    <n v="50243.508000000002"/>
    <n v="2743904.7620000001"/>
  </r>
  <r>
    <s v="Санкт-Петербург"/>
    <x v="0"/>
    <s v="GoPro Hero 11"/>
    <n v="4193"/>
    <s v="57025.88"/>
    <n v="2898473.5"/>
    <n v="2884771.18"/>
    <n v="0"/>
    <n v="2884771.18"/>
    <n v="0"/>
    <n v="2884771.18"/>
  </r>
  <r>
    <s v="Санкт-Петербург"/>
    <x v="0"/>
    <s v="Monster Bike 20x"/>
    <n v="4098"/>
    <s v="55953.79"/>
    <n v="2853061.5"/>
    <n v="2839703.22"/>
    <n v="139884.47500000001"/>
    <n v="2839703.22"/>
    <n v="139884.47500000001"/>
    <n v="2699818.7450000001"/>
  </r>
  <r>
    <s v="Санкт-Петербург"/>
    <x v="0"/>
    <s v="Ninebot Max G30"/>
    <n v="4125"/>
    <s v="56996.21"/>
    <n v="2905345"/>
    <n v="2890134.21"/>
    <n v="68395.452000000005"/>
    <n v="2890134.21"/>
    <n v="68395.452000000005"/>
    <n v="2821738.7579999999"/>
  </r>
  <r>
    <s v="Санкт-Петербург"/>
    <x v="0"/>
    <s v="Xiaomi Mi Pro 2"/>
    <n v="4043"/>
    <s v="56555.43"/>
    <n v="2870558.5"/>
    <n v="2856535.22"/>
    <n v="50899.887000000002"/>
    <n v="2856535.22"/>
    <n v="50899.887000000002"/>
    <n v="2805635.3330000001"/>
  </r>
  <r>
    <s v="Екатеринбург"/>
    <x v="1"/>
    <s v="GoPro Hero 11"/>
    <n v="4085"/>
    <s v="55318.21"/>
    <n v="2861017"/>
    <n v="2846192.61"/>
    <n v="0"/>
    <n v="2846192.61"/>
    <n v="0"/>
    <n v="2846192.61"/>
  </r>
  <r>
    <s v="Екатеринбург"/>
    <x v="1"/>
    <s v="Monster Bike 20x"/>
    <n v="4045"/>
    <s v="55186.90"/>
    <n v="2843934"/>
    <n v="2831079.04"/>
    <n v="137967.25"/>
    <n v="2831079.04"/>
    <n v="137967.25"/>
    <n v="2693111.79"/>
  </r>
  <r>
    <s v="Екатеринбург"/>
    <x v="1"/>
    <s v="Ninebot Max G30"/>
    <n v="4149"/>
    <s v="56996.56"/>
    <n v="2911804.5"/>
    <n v="2897517.78"/>
    <n v="68395.872000000003"/>
    <n v="2897517.78"/>
    <n v="68395.872000000003"/>
    <n v="2829121.9079999998"/>
  </r>
  <r>
    <s v="Екатеринбург"/>
    <x v="1"/>
    <s v="Xiaomi Mi Pro 2"/>
    <n v="4023"/>
    <s v="54641.63"/>
    <n v="2807028"/>
    <n v="2793247.56"/>
    <n v="49177.466999999997"/>
    <n v="2793247.56"/>
    <n v="49177.466999999997"/>
    <n v="2744070.0929999999"/>
  </r>
  <r>
    <s v="Казань"/>
    <x v="1"/>
    <s v="GoPro Hero 11"/>
    <n v="4033"/>
    <s v="55381.55"/>
    <n v="2834321"/>
    <n v="2821094.41"/>
    <n v="0"/>
    <n v="2821094.41"/>
    <n v="0"/>
    <n v="2821094.41"/>
  </r>
  <r>
    <s v="Казань"/>
    <x v="1"/>
    <s v="Monster Bike 20x"/>
    <n v="4138"/>
    <s v="56547.73"/>
    <n v="2897941.5"/>
    <n v="2883722.61"/>
    <n v="141369.32500000001"/>
    <n v="2883722.61"/>
    <n v="141369.32500000001"/>
    <n v="2742353.2849999997"/>
  </r>
  <r>
    <s v="Казань"/>
    <x v="1"/>
    <s v="Ninebot Max G30"/>
    <n v="4065"/>
    <s v="54772.00"/>
    <n v="2821424.5"/>
    <n v="2807689.63"/>
    <n v="65726.399999999994"/>
    <n v="2807689.63"/>
    <n v="65726.399999999994"/>
    <n v="2741963.23"/>
  </r>
  <r>
    <s v="Казань"/>
    <x v="1"/>
    <s v="Xiaomi Mi Pro 2"/>
    <n v="3978"/>
    <s v="53851.75"/>
    <n v="2766635.5"/>
    <n v="2753004.42"/>
    <n v="48466.574999999997"/>
    <n v="2753004.42"/>
    <n v="48466.574999999997"/>
    <n v="2704537.8449999997"/>
  </r>
  <r>
    <s v="Москва"/>
    <x v="1"/>
    <s v="GoPro Hero 11"/>
    <n v="4066"/>
    <s v="55535.71"/>
    <n v="2831086.5"/>
    <n v="2817909.67"/>
    <n v="0"/>
    <n v="2817909.67"/>
    <n v="0"/>
    <n v="2817909.67"/>
  </r>
  <r>
    <s v="Москва"/>
    <x v="1"/>
    <s v="Monster Bike 20x"/>
    <n v="4142"/>
    <s v="56739.74"/>
    <n v="2899771.5"/>
    <n v="2885607"/>
    <n v="141849.35"/>
    <n v="2885607"/>
    <n v="141849.35"/>
    <n v="2743757.65"/>
  </r>
  <r>
    <s v="Москва"/>
    <x v="1"/>
    <s v="Ninebot Max G30"/>
    <n v="4102"/>
    <s v="55827.92"/>
    <n v="2852550"/>
    <n v="2838569.99"/>
    <n v="66993.504000000001"/>
    <n v="2838569.99"/>
    <n v="66993.504000000001"/>
    <n v="2771576.486"/>
  </r>
  <r>
    <s v="Москва"/>
    <x v="1"/>
    <s v="Xiaomi Mi Pro 2"/>
    <n v="4064"/>
    <s v="55278.12"/>
    <n v="2818295"/>
    <n v="2804708.56"/>
    <n v="49750.307999999997"/>
    <n v="2804708.56"/>
    <n v="49750.307999999997"/>
    <n v="2754958.2519999999"/>
  </r>
  <r>
    <s v="Новосибирск"/>
    <x v="1"/>
    <s v="GoPro Hero 11"/>
    <n v="3960"/>
    <s v="54468.97"/>
    <n v="2752909"/>
    <n v="2739644.56"/>
    <n v="0"/>
    <n v="2739644.56"/>
    <n v="0"/>
    <n v="2739644.56"/>
  </r>
  <r>
    <s v="Новосибирск"/>
    <x v="1"/>
    <s v="Monster Bike 20x"/>
    <n v="3908"/>
    <s v="54019.74"/>
    <n v="2745552.5"/>
    <n v="2732121.54"/>
    <n v="135049.35"/>
    <n v="2732121.54"/>
    <n v="135049.35"/>
    <n v="2597072.19"/>
  </r>
  <r>
    <s v="Новосибирск"/>
    <x v="1"/>
    <s v="Ninebot Max G30"/>
    <n v="4093"/>
    <s v="56258.84"/>
    <n v="2893322"/>
    <n v="2879394.61"/>
    <n v="67510.607999999993"/>
    <n v="2879394.61"/>
    <n v="67510.607999999993"/>
    <n v="2811884.0019999999"/>
  </r>
  <r>
    <s v="Новосибирск"/>
    <x v="1"/>
    <s v="Xiaomi Mi Pro 2"/>
    <n v="3878"/>
    <s v="52954.20"/>
    <n v="2686877"/>
    <n v="2673057.4900000002"/>
    <n v="47658.78"/>
    <n v="2673057.4900000002"/>
    <n v="47658.78"/>
    <n v="2625398.7100000004"/>
  </r>
  <r>
    <s v="Санкт-Петербург"/>
    <x v="1"/>
    <s v="GoPro Hero 11"/>
    <n v="3912"/>
    <s v="53630.60"/>
    <n v="2731083.5"/>
    <n v="2717758.92"/>
    <n v="0"/>
    <n v="2717758.92"/>
    <n v="0"/>
    <n v="2717758.92"/>
  </r>
  <r>
    <s v="Санкт-Петербург"/>
    <x v="1"/>
    <s v="Monster Bike 20x"/>
    <n v="3969"/>
    <s v="54054.58"/>
    <n v="2799820"/>
    <n v="2786074.51"/>
    <n v="135136.45000000001"/>
    <n v="2786074.51"/>
    <n v="135136.45000000001"/>
    <n v="2650938.0599999996"/>
  </r>
  <r>
    <s v="Санкт-Петербург"/>
    <x v="1"/>
    <s v="Ninebot Max G30"/>
    <n v="4064"/>
    <s v="55107.04"/>
    <n v="2834342.5"/>
    <n v="2821014.25"/>
    <n v="66128.448000000004"/>
    <n v="2821014.25"/>
    <n v="66128.448000000004"/>
    <n v="2754885.8020000001"/>
  </r>
  <r>
    <s v="Санкт-Петербург"/>
    <x v="1"/>
    <s v="Xiaomi Mi Pro 2"/>
    <n v="4021"/>
    <s v="54611.58"/>
    <n v="2799401.5"/>
    <n v="2786445.04"/>
    <n v="49150.421999999999"/>
    <n v="2786445.04"/>
    <n v="49150.421999999999"/>
    <n v="2737294.6180000002"/>
  </r>
  <r>
    <s v="Екатеринбург"/>
    <x v="2"/>
    <s v="GoPro Hero 11"/>
    <n v="4418"/>
    <s v="60241.62"/>
    <n v="3073427.5"/>
    <n v="3059060.55"/>
    <n v="0"/>
    <n v="3059060.55"/>
    <n v="0"/>
    <n v="3059060.55"/>
  </r>
  <r>
    <s v="Екатеринбург"/>
    <x v="2"/>
    <s v="Monster Bike 20x"/>
    <n v="4239"/>
    <s v="57394.48"/>
    <n v="2944566.5"/>
    <n v="2929691.24"/>
    <n v="143486.20000000001"/>
    <n v="2929691.24"/>
    <n v="143486.20000000001"/>
    <n v="2786205.04"/>
  </r>
  <r>
    <s v="Екатеринбург"/>
    <x v="2"/>
    <s v="Ninebot Max G30"/>
    <n v="4386"/>
    <s v="59686.20"/>
    <n v="3059702.5"/>
    <n v="3045104.18"/>
    <n v="71623.44"/>
    <n v="3045104.18"/>
    <n v="71623.44"/>
    <n v="2973480.74"/>
  </r>
  <r>
    <s v="Екатеринбург"/>
    <x v="2"/>
    <s v="Xiaomi Mi Pro 2"/>
    <n v="4275"/>
    <s v="58397.79"/>
    <n v="2992605.5"/>
    <n v="2978825.93"/>
    <n v="52558.010999999999"/>
    <n v="2978825.93"/>
    <n v="52558.010999999999"/>
    <n v="2926267.9190000002"/>
  </r>
  <r>
    <s v="Казань"/>
    <x v="2"/>
    <s v="GoPro Hero 11"/>
    <n v="4135"/>
    <s v="57226.44"/>
    <n v="2879093.5"/>
    <n v="2864221.4"/>
    <n v="0"/>
    <n v="2864221.4"/>
    <n v="0"/>
    <n v="2864221.4"/>
  </r>
  <r>
    <s v="Казань"/>
    <x v="2"/>
    <s v="Monster Bike 20x"/>
    <n v="4289"/>
    <s v="58260.96"/>
    <n v="3009551"/>
    <n v="2994236.72"/>
    <n v="145652.4"/>
    <n v="2994236.72"/>
    <n v="145652.4"/>
    <n v="2848584.3200000003"/>
  </r>
  <r>
    <s v="Казань"/>
    <x v="2"/>
    <s v="Ninebot Max G30"/>
    <n v="4245"/>
    <s v="58926.71"/>
    <n v="2975671"/>
    <n v="2961034.48"/>
    <n v="70712.051999999996"/>
    <n v="2961034.48"/>
    <n v="70712.051999999996"/>
    <n v="2890322.4279999998"/>
  </r>
  <r>
    <s v="Казань"/>
    <x v="2"/>
    <s v="Xiaomi Mi Pro 2"/>
    <n v="4321"/>
    <s v="59657.16"/>
    <n v="3043364.5"/>
    <n v="3027788.22"/>
    <n v="53691.444000000003"/>
    <n v="3027788.22"/>
    <n v="53691.444000000003"/>
    <n v="2974096.7760000001"/>
  </r>
  <r>
    <s v="Москва"/>
    <x v="2"/>
    <s v="GoPro Hero 11"/>
    <n v="4429"/>
    <s v="59946.73"/>
    <n v="3070523.5"/>
    <n v="3055689.88"/>
    <n v="0"/>
    <n v="3055689.88"/>
    <n v="0"/>
    <n v="3055689.88"/>
  </r>
  <r>
    <s v="Москва"/>
    <x v="2"/>
    <s v="Monster Bike 20x"/>
    <n v="4434"/>
    <s v="60021.20"/>
    <n v="3051867"/>
    <n v="3037148.29"/>
    <n v="150053"/>
    <n v="3037148.29"/>
    <n v="150053"/>
    <n v="2887095.29"/>
  </r>
  <r>
    <s v="Москва"/>
    <x v="2"/>
    <s v="Ninebot Max G30"/>
    <n v="4382"/>
    <s v="59516.40"/>
    <n v="3061200"/>
    <n v="3047098.8"/>
    <n v="71419.679999999993"/>
    <n v="3047098.8"/>
    <n v="71419.679999999993"/>
    <n v="2975679.1199999996"/>
  </r>
  <r>
    <s v="Москва"/>
    <x v="2"/>
    <s v="Xiaomi Mi Pro 2"/>
    <n v="4429"/>
    <s v="61052.27"/>
    <n v="3132858.5"/>
    <n v="3117870.2"/>
    <n v="54947.042999999998"/>
    <n v="3117870.2"/>
    <n v="54947.042999999998"/>
    <n v="3062923.1570000001"/>
  </r>
  <r>
    <s v="Новосибирск"/>
    <x v="2"/>
    <s v="GoPro Hero 11"/>
    <n v="4211"/>
    <s v="56636.75"/>
    <n v="2898795"/>
    <n v="2884954.63"/>
    <n v="0"/>
    <n v="2884954.63"/>
    <n v="0"/>
    <n v="2884954.63"/>
  </r>
  <r>
    <s v="Новосибирск"/>
    <x v="2"/>
    <s v="Monster Bike 20x"/>
    <n v="4138"/>
    <s v="56412.40"/>
    <n v="2901375"/>
    <n v="2886245.71"/>
    <n v="141031"/>
    <n v="2886245.71"/>
    <n v="141031"/>
    <n v="2745214.71"/>
  </r>
  <r>
    <s v="Новосибирск"/>
    <x v="2"/>
    <s v="Ninebot Max G30"/>
    <n v="4246"/>
    <s v="58608.05"/>
    <n v="2981293.5"/>
    <n v="2965633.68"/>
    <n v="70329.66"/>
    <n v="2965633.68"/>
    <n v="70329.66"/>
    <n v="2895304.02"/>
  </r>
  <r>
    <s v="Новосибирск"/>
    <x v="2"/>
    <s v="Xiaomi Mi Pro 2"/>
    <n v="4221"/>
    <s v="57345.47"/>
    <n v="2939329"/>
    <n v="2925462.51"/>
    <n v="51610.923000000003"/>
    <n v="2925462.51"/>
    <n v="51610.923000000003"/>
    <n v="2873851.5869999998"/>
  </r>
  <r>
    <s v="Санкт-Петербург"/>
    <x v="2"/>
    <s v="GoPro Hero 11"/>
    <n v="4239"/>
    <s v="58042.92"/>
    <n v="2970332.5"/>
    <n v="2956274.09"/>
    <n v="0"/>
    <n v="2956274.09"/>
    <n v="0"/>
    <n v="2956274.09"/>
  </r>
  <r>
    <s v="Санкт-Петербург"/>
    <x v="2"/>
    <s v="Monster Bike 20x"/>
    <n v="4165"/>
    <s v="56292.33"/>
    <n v="2891857"/>
    <n v="2878260.89"/>
    <n v="140730.82500000001"/>
    <n v="2878260.89"/>
    <n v="140730.82500000001"/>
    <n v="2737530.0649999999"/>
  </r>
  <r>
    <s v="Санкт-Петербург"/>
    <x v="2"/>
    <s v="Ninebot Max G30"/>
    <n v="4438"/>
    <s v="60299.64"/>
    <n v="3092608"/>
    <n v="3077576.82"/>
    <n v="72359.567999999999"/>
    <n v="3077576.82"/>
    <n v="72359.567999999999"/>
    <n v="3005217.2519999999"/>
  </r>
  <r>
    <s v="Санкт-Петербург"/>
    <x v="2"/>
    <s v="Xiaomi Mi Pro 2"/>
    <n v="4206"/>
    <s v="57722.92"/>
    <n v="2954899.5"/>
    <n v="2940717.13"/>
    <n v="51950.627999999997"/>
    <n v="2940717.13"/>
    <n v="51950.627999999997"/>
    <n v="2888766.5019999999"/>
  </r>
  <r>
    <s v="Екатеринбург"/>
    <x v="3"/>
    <s v="GoPro Hero 11"/>
    <n v="4248"/>
    <s v="58041.17"/>
    <n v="2980965"/>
    <n v="2966917.05"/>
    <n v="0"/>
    <n v="2966917.05"/>
    <n v="0"/>
    <n v="2966917.05"/>
  </r>
  <r>
    <s v="Екатеринбург"/>
    <x v="3"/>
    <s v="Monster Bike 20x"/>
    <n v="4152"/>
    <s v="55923.25"/>
    <n v="2896005.5"/>
    <n v="2882308.08"/>
    <n v="139808.125"/>
    <n v="2882308.08"/>
    <n v="139808.125"/>
    <n v="2742499.9550000001"/>
  </r>
  <r>
    <s v="Екатеринбург"/>
    <x v="3"/>
    <s v="Ninebot Max G30"/>
    <n v="4076"/>
    <s v="54958.04"/>
    <n v="2833108.5"/>
    <n v="2818921.17"/>
    <n v="65949.648000000001"/>
    <n v="2818921.17"/>
    <n v="65949.648000000001"/>
    <n v="2752971.5219999999"/>
  </r>
  <r>
    <s v="Екатеринбург"/>
    <x v="3"/>
    <s v="Xiaomi Mi Pro 2"/>
    <n v="4130"/>
    <s v="56664.61"/>
    <n v="2906282.5"/>
    <n v="2892920.31"/>
    <n v="50998.148999999998"/>
    <n v="2892920.31"/>
    <n v="50998.148999999998"/>
    <n v="2841922.1609999998"/>
  </r>
  <r>
    <s v="Казань"/>
    <x v="3"/>
    <s v="GoPro Hero 11"/>
    <n v="4235"/>
    <s v="57831.03"/>
    <n v="2949088.5"/>
    <n v="2935641.43"/>
    <n v="0"/>
    <n v="2935641.43"/>
    <n v="0"/>
    <n v="2935641.43"/>
  </r>
  <r>
    <s v="Казань"/>
    <x v="3"/>
    <s v="Monster Bike 20x"/>
    <n v="4131"/>
    <s v="56236.32"/>
    <n v="2914181.5"/>
    <n v="2900551.53"/>
    <n v="140590.79999999999"/>
    <n v="2900551.53"/>
    <n v="140590.79999999999"/>
    <n v="2759960.73"/>
  </r>
  <r>
    <s v="Казань"/>
    <x v="3"/>
    <s v="Ninebot Max G30"/>
    <n v="4296"/>
    <s v="58164.63"/>
    <n v="2990474.5"/>
    <n v="2975524.16"/>
    <n v="69797.555999999997"/>
    <n v="2975524.16"/>
    <n v="69797.555999999997"/>
    <n v="2905726.6040000003"/>
  </r>
  <r>
    <s v="Казань"/>
    <x v="3"/>
    <s v="Xiaomi Mi Pro 2"/>
    <n v="4073"/>
    <s v="55741.16"/>
    <n v="2846139"/>
    <n v="2834131.26"/>
    <n v="50167.044000000002"/>
    <n v="2834131.26"/>
    <n v="50167.044000000002"/>
    <n v="2783964.2159999995"/>
  </r>
  <r>
    <s v="Москва"/>
    <x v="3"/>
    <s v="GoPro Hero 11"/>
    <n v="4231"/>
    <s v="57710.30"/>
    <n v="2960682"/>
    <n v="2946888.28"/>
    <n v="0"/>
    <n v="2946888.28"/>
    <n v="0"/>
    <n v="2946888.28"/>
  </r>
  <r>
    <s v="Москва"/>
    <x v="3"/>
    <s v="Monster Bike 20x"/>
    <n v="4178"/>
    <s v="56547.49"/>
    <n v="2897221"/>
    <n v="2883121.75"/>
    <n v="141368.72500000001"/>
    <n v="2883121.75"/>
    <n v="141368.72500000001"/>
    <n v="2741753.0249999999"/>
  </r>
  <r>
    <s v="Москва"/>
    <x v="3"/>
    <s v="Ninebot Max G30"/>
    <n v="4293"/>
    <s v="58445.48"/>
    <n v="2990848.5"/>
    <n v="2976882.29"/>
    <n v="70134.576000000001"/>
    <n v="2976882.29"/>
    <n v="70134.576000000001"/>
    <n v="2906747.7140000002"/>
  </r>
  <r>
    <s v="Москва"/>
    <x v="3"/>
    <s v="Xiaomi Mi Pro 2"/>
    <n v="4286"/>
    <s v="59695.87"/>
    <n v="3002478"/>
    <n v="2987774.03"/>
    <n v="53726.283000000003"/>
    <n v="2987774.03"/>
    <n v="53726.283000000003"/>
    <n v="2934047.747"/>
  </r>
  <r>
    <s v="Новосибирск"/>
    <x v="3"/>
    <s v="GoPro Hero 11"/>
    <n v="4137"/>
    <s v="56257.85"/>
    <n v="2902556.5"/>
    <n v="2887958.34"/>
    <n v="0"/>
    <n v="2887958.34"/>
    <n v="0"/>
    <n v="2887958.34"/>
  </r>
  <r>
    <s v="Новосибирск"/>
    <x v="3"/>
    <s v="Monster Bike 20x"/>
    <n v="3899"/>
    <s v="53758.24"/>
    <n v="2732914"/>
    <n v="2719759.22"/>
    <n v="134395.6"/>
    <n v="2719759.22"/>
    <n v="134395.6"/>
    <n v="2585363.62"/>
  </r>
  <r>
    <s v="Новосибирск"/>
    <x v="3"/>
    <s v="Ninebot Max G30"/>
    <n v="4097"/>
    <s v="55973.89"/>
    <n v="2843706"/>
    <n v="2829500.91"/>
    <n v="67168.668000000005"/>
    <n v="2829500.91"/>
    <n v="67168.668000000005"/>
    <n v="2762332.2420000001"/>
  </r>
  <r>
    <s v="Новосибирск"/>
    <x v="3"/>
    <s v="Xiaomi Mi Pro 2"/>
    <n v="4043"/>
    <s v="54563.05"/>
    <n v="2788742.5"/>
    <n v="2774527.33"/>
    <n v="49106.745000000003"/>
    <n v="2774527.33"/>
    <n v="49106.745000000003"/>
    <n v="2725420.585"/>
  </r>
  <r>
    <s v="Санкт-Петербург"/>
    <x v="3"/>
    <s v="GoPro Hero 11"/>
    <n v="4164"/>
    <s v="56920.61"/>
    <n v="2913433.5"/>
    <n v="2899599.59"/>
    <n v="0"/>
    <n v="2899599.59"/>
    <n v="0"/>
    <n v="2899599.59"/>
  </r>
  <r>
    <s v="Санкт-Петербург"/>
    <x v="3"/>
    <s v="Monster Bike 20x"/>
    <n v="4106"/>
    <s v="55921.18"/>
    <n v="2855057.5"/>
    <n v="2841085.6"/>
    <n v="139802.95000000001"/>
    <n v="2841085.6"/>
    <n v="139802.95000000001"/>
    <n v="2701282.65"/>
  </r>
  <r>
    <s v="Санкт-Петербург"/>
    <x v="3"/>
    <s v="Ninebot Max G30"/>
    <n v="4200"/>
    <s v="58424.96"/>
    <n v="2947067.5"/>
    <n v="2932845.14"/>
    <n v="70109.952000000005"/>
    <n v="2932845.14"/>
    <n v="70109.952000000005"/>
    <n v="2862735.1880000001"/>
  </r>
  <r>
    <s v="Санкт-Петербург"/>
    <x v="3"/>
    <s v="Xiaomi Mi Pro 2"/>
    <n v="4020"/>
    <s v="54898.65"/>
    <n v="2790790.5"/>
    <n v="2777179.43"/>
    <n v="49408.785000000003"/>
    <n v="2777179.43"/>
    <n v="49408.785000000003"/>
    <n v="2727770.645"/>
  </r>
  <r>
    <s v="Екатеринбург"/>
    <x v="4"/>
    <s v="GoPro Hero 11"/>
    <n v="4347"/>
    <s v="60411.43"/>
    <n v="3093248.5"/>
    <n v="3079829.24"/>
    <n v="0"/>
    <n v="3079829.24"/>
    <n v="0"/>
    <n v="3079829.24"/>
  </r>
  <r>
    <s v="Екатеринбург"/>
    <x v="4"/>
    <s v="Monster Bike 20x"/>
    <n v="4158"/>
    <s v="56451.27"/>
    <n v="2870352.5"/>
    <n v="2856595.03"/>
    <n v="141128.17499999999"/>
    <n v="2856595.03"/>
    <n v="141128.17499999999"/>
    <n v="2715466.855"/>
  </r>
  <r>
    <s v="Екатеринбург"/>
    <x v="4"/>
    <s v="Ninebot Max G30"/>
    <n v="4186"/>
    <s v="57140.25"/>
    <n v="2930799.5"/>
    <n v="2917201.94"/>
    <n v="68568.3"/>
    <n v="2917201.94"/>
    <n v="68568.3"/>
    <n v="2848633.64"/>
  </r>
  <r>
    <s v="Екатеринбург"/>
    <x v="4"/>
    <s v="Xiaomi Mi Pro 2"/>
    <n v="4089"/>
    <s v="56520.50"/>
    <n v="2854250.5"/>
    <n v="2840120.08"/>
    <n v="50868.45"/>
    <n v="2840120.08"/>
    <n v="50868.45"/>
    <n v="2789251.63"/>
  </r>
  <r>
    <s v="Казань"/>
    <x v="4"/>
    <s v="GoPro Hero 11"/>
    <n v="4232"/>
    <s v="57009.55"/>
    <n v="2926157.5"/>
    <n v="2911529.33"/>
    <n v="0"/>
    <n v="2911529.33"/>
    <n v="0"/>
    <n v="2911529.33"/>
  </r>
  <r>
    <s v="Казань"/>
    <x v="4"/>
    <s v="Monster Bike 20x"/>
    <n v="4178"/>
    <s v="56778.30"/>
    <n v="2924477"/>
    <n v="2911008.35"/>
    <n v="141945.75"/>
    <n v="2911008.35"/>
    <n v="141945.75"/>
    <n v="2769062.6"/>
  </r>
  <r>
    <s v="Казань"/>
    <x v="4"/>
    <s v="Ninebot Max G30"/>
    <n v="4315"/>
    <s v="58876.49"/>
    <n v="3054318"/>
    <n v="3039987.68"/>
    <n v="70651.788"/>
    <n v="3039987.68"/>
    <n v="70651.788"/>
    <n v="2969335.892"/>
  </r>
  <r>
    <s v="Казань"/>
    <x v="4"/>
    <s v="Xiaomi Mi Pro 2"/>
    <n v="4152"/>
    <s v="56404.28"/>
    <n v="2873774.5"/>
    <n v="2859238.17"/>
    <n v="50763.851999999999"/>
    <n v="2859238.17"/>
    <n v="50763.851999999999"/>
    <n v="2808474.318"/>
  </r>
  <r>
    <s v="Москва"/>
    <x v="4"/>
    <s v="GoPro Hero 11"/>
    <n v="4353"/>
    <s v="59528.80"/>
    <n v="3057205"/>
    <n v="3042045.85"/>
    <n v="0"/>
    <n v="3042045.85"/>
    <n v="0"/>
    <n v="3042045.85"/>
  </r>
  <r>
    <s v="Москва"/>
    <x v="4"/>
    <s v="Monster Bike 20x"/>
    <n v="4194"/>
    <s v="57205.45"/>
    <n v="2905717"/>
    <n v="2891382.83"/>
    <n v="143013.625"/>
    <n v="2891382.83"/>
    <n v="143013.625"/>
    <n v="2748369.2050000001"/>
  </r>
  <r>
    <s v="Москва"/>
    <x v="4"/>
    <s v="Ninebot Max G30"/>
    <n v="4399"/>
    <s v="59870.23"/>
    <n v="3056494.5"/>
    <n v="3040886.96"/>
    <n v="71844.275999999998"/>
    <n v="3040886.96"/>
    <n v="71844.275999999998"/>
    <n v="2969042.6839999999"/>
  </r>
  <r>
    <s v="Москва"/>
    <x v="4"/>
    <s v="Xiaomi Mi Pro 2"/>
    <n v="4136"/>
    <s v="56186.83"/>
    <n v="2887652.5"/>
    <n v="2873383.9"/>
    <n v="50568.146999999997"/>
    <n v="2873383.9"/>
    <n v="50568.146999999997"/>
    <n v="2822815.753"/>
  </r>
  <r>
    <s v="Новосибирск"/>
    <x v="4"/>
    <s v="GoPro Hero 11"/>
    <n v="4326"/>
    <s v="58899.26"/>
    <n v="3032495"/>
    <n v="3017592.43"/>
    <n v="0"/>
    <n v="3017592.43"/>
    <n v="0"/>
    <n v="3017592.43"/>
  </r>
  <r>
    <s v="Новосибирск"/>
    <x v="4"/>
    <s v="Monster Bike 20x"/>
    <n v="4136"/>
    <s v="56228.91"/>
    <n v="2874943"/>
    <n v="2861692.57"/>
    <n v="140572.27499999999"/>
    <n v="2861692.57"/>
    <n v="140572.27499999999"/>
    <n v="2721120.2949999999"/>
  </r>
  <r>
    <s v="Новосибирск"/>
    <x v="4"/>
    <s v="Ninebot Max G30"/>
    <n v="4105"/>
    <s v="55424.39"/>
    <n v="2833937.5"/>
    <n v="2820439.69"/>
    <n v="66509.267999999996"/>
    <n v="2820439.69"/>
    <n v="66509.267999999996"/>
    <n v="2753930.4219999998"/>
  </r>
  <r>
    <s v="Новосибирск"/>
    <x v="4"/>
    <s v="Xiaomi Mi Pro 2"/>
    <n v="4053"/>
    <s v="55642.80"/>
    <n v="2847239"/>
    <n v="2833094.3"/>
    <n v="50078.52"/>
    <n v="2833094.3"/>
    <n v="50078.52"/>
    <n v="2783015.78"/>
  </r>
  <r>
    <s v="Санкт-Петербург"/>
    <x v="4"/>
    <s v="GoPro Hero 11"/>
    <n v="4260"/>
    <s v="58329.67"/>
    <n v="2962681.5"/>
    <n v="2948803.96"/>
    <n v="0"/>
    <n v="2948803.96"/>
    <n v="0"/>
    <n v="2948803.96"/>
  </r>
  <r>
    <s v="Санкт-Петербург"/>
    <x v="4"/>
    <s v="Monster Bike 20x"/>
    <n v="3993"/>
    <s v="54080.26"/>
    <n v="2782044"/>
    <n v="2768778.58"/>
    <n v="135200.65"/>
    <n v="2768778.58"/>
    <n v="135200.65"/>
    <n v="2633577.9300000002"/>
  </r>
  <r>
    <s v="Санкт-Петербург"/>
    <x v="4"/>
    <s v="Ninebot Max G30"/>
    <n v="4232"/>
    <s v="57457.32"/>
    <n v="2936682"/>
    <n v="2923246.77"/>
    <n v="68948.784"/>
    <n v="2923246.77"/>
    <n v="68948.784"/>
    <n v="2854297.986"/>
  </r>
  <r>
    <s v="Санкт-Петербург"/>
    <x v="4"/>
    <s v="Xiaomi Mi Pro 2"/>
    <n v="3995"/>
    <s v="54968.24"/>
    <n v="2805256.5"/>
    <n v="2791833.55"/>
    <n v="49471.415999999997"/>
    <n v="2791833.55"/>
    <n v="49471.415999999997"/>
    <n v="2742362.1339999996"/>
  </r>
  <r>
    <s v="Екатеринбург"/>
    <x v="5"/>
    <s v="GoPro Hero 11"/>
    <n v="4063"/>
    <s v="55177.41"/>
    <n v="2830550.5"/>
    <n v="2816783.65"/>
    <n v="0"/>
    <n v="2816783.65"/>
    <n v="0"/>
    <n v="2816783.65"/>
  </r>
  <r>
    <s v="Екатеринбург"/>
    <x v="5"/>
    <s v="Monster Bike 20x"/>
    <n v="4102"/>
    <s v="56115.58"/>
    <n v="2854370.5"/>
    <n v="2840100.48"/>
    <n v="140288.95000000001"/>
    <n v="2840100.48"/>
    <n v="140288.95000000001"/>
    <n v="2699811.53"/>
  </r>
  <r>
    <s v="Екатеринбург"/>
    <x v="5"/>
    <s v="Ninebot Max G30"/>
    <n v="4143"/>
    <s v="55420.66"/>
    <n v="2868607.5"/>
    <n v="2854329.85"/>
    <n v="66504.792000000001"/>
    <n v="2854329.85"/>
    <n v="66504.792000000001"/>
    <n v="2787825.0580000002"/>
  </r>
  <r>
    <s v="Екатеринбург"/>
    <x v="5"/>
    <s v="Xiaomi Mi Pro 2"/>
    <n v="4076"/>
    <s v="55064.52"/>
    <n v="2836043.5"/>
    <n v="2821136.2"/>
    <n v="49558.067999999999"/>
    <n v="2821136.2"/>
    <n v="49558.067999999999"/>
    <n v="2771578.1320000002"/>
  </r>
  <r>
    <s v="Казань"/>
    <x v="5"/>
    <s v="GoPro Hero 11"/>
    <n v="4306"/>
    <s v="59370.42"/>
    <n v="3002799.5"/>
    <n v="2987782.12"/>
    <n v="0"/>
    <n v="2987782.12"/>
    <n v="0"/>
    <n v="2987782.12"/>
  </r>
  <r>
    <s v="Казань"/>
    <x v="5"/>
    <s v="Monster Bike 20x"/>
    <n v="4252"/>
    <s v="58338.88"/>
    <n v="2968118.5"/>
    <n v="2953745.72"/>
    <n v="145847.20000000001"/>
    <n v="2953745.72"/>
    <n v="145847.20000000001"/>
    <n v="2807898.52"/>
  </r>
  <r>
    <s v="Казань"/>
    <x v="5"/>
    <s v="Ninebot Max G30"/>
    <n v="4242"/>
    <s v="58252.81"/>
    <n v="2952459.5"/>
    <n v="2938379.63"/>
    <n v="69903.372000000003"/>
    <n v="2938379.63"/>
    <n v="69903.372000000003"/>
    <n v="2868476.2579999999"/>
  </r>
  <r>
    <s v="Казань"/>
    <x v="5"/>
    <s v="Xiaomi Mi Pro 2"/>
    <n v="4221"/>
    <s v="57708.99"/>
    <n v="2939560.5"/>
    <n v="2925529.69"/>
    <n v="51938.091"/>
    <n v="2925529.69"/>
    <n v="51938.091"/>
    <n v="2873591.5989999999"/>
  </r>
  <r>
    <s v="Москва"/>
    <x v="5"/>
    <s v="GoPro Hero 11"/>
    <n v="4228"/>
    <s v="57565.14"/>
    <n v="2948562"/>
    <n v="2935638.05"/>
    <n v="0"/>
    <n v="2935638.05"/>
    <n v="0"/>
    <n v="2935638.05"/>
  </r>
  <r>
    <s v="Москва"/>
    <x v="5"/>
    <s v="Monster Bike 20x"/>
    <n v="4251"/>
    <s v="57541.05"/>
    <n v="2922786.5"/>
    <n v="2909038.62"/>
    <n v="143852.625"/>
    <n v="2909038.62"/>
    <n v="143852.625"/>
    <n v="2765185.9950000001"/>
  </r>
  <r>
    <s v="Москва"/>
    <x v="5"/>
    <s v="Ninebot Max G30"/>
    <n v="4298"/>
    <s v="58477.32"/>
    <n v="2970859.5"/>
    <n v="2955605.98"/>
    <n v="70172.784"/>
    <n v="2955605.98"/>
    <n v="70172.784"/>
    <n v="2885433.196"/>
  </r>
  <r>
    <s v="Москва"/>
    <x v="5"/>
    <s v="Xiaomi Mi Pro 2"/>
    <n v="4100"/>
    <s v="55596.76"/>
    <n v="2882436.5"/>
    <n v="2869093.3"/>
    <n v="50037.084000000003"/>
    <n v="2869093.3"/>
    <n v="50037.084000000003"/>
    <n v="2819056.216"/>
  </r>
  <r>
    <s v="Новосибирск"/>
    <x v="5"/>
    <s v="GoPro Hero 11"/>
    <n v="4169"/>
    <s v="56469.68"/>
    <n v="2886658.5"/>
    <n v="2872752.84"/>
    <n v="0"/>
    <n v="2872752.84"/>
    <n v="0"/>
    <n v="2872752.84"/>
  </r>
  <r>
    <s v="Новосибирск"/>
    <x v="5"/>
    <s v="Monster Bike 20x"/>
    <n v="4159"/>
    <s v="55846.56"/>
    <n v="2876214"/>
    <n v="2861941.59"/>
    <n v="139616.4"/>
    <n v="2861941.59"/>
    <n v="139616.4"/>
    <n v="2722325.19"/>
  </r>
  <r>
    <s v="Новосибирск"/>
    <x v="5"/>
    <s v="Ninebot Max G30"/>
    <n v="4227"/>
    <s v="58425.75"/>
    <n v="2954968"/>
    <n v="2941229.36"/>
    <n v="70110.899999999994"/>
    <n v="2941229.36"/>
    <n v="70110.899999999994"/>
    <n v="2871118.46"/>
  </r>
  <r>
    <s v="Новосибирск"/>
    <x v="5"/>
    <s v="Xiaomi Mi Pro 2"/>
    <n v="4071"/>
    <s v="55833.09"/>
    <n v="2863370"/>
    <n v="2849519.48"/>
    <n v="50249.781000000003"/>
    <n v="2849519.48"/>
    <n v="50249.781000000003"/>
    <n v="2799269.699"/>
  </r>
  <r>
    <s v="Санкт-Петербург"/>
    <x v="5"/>
    <s v="GoPro Hero 11"/>
    <n v="4236"/>
    <s v="57338.58"/>
    <n v="2914334.5"/>
    <n v="2899996.07"/>
    <n v="0"/>
    <n v="2899996.07"/>
    <n v="0"/>
    <n v="2899996.07"/>
  </r>
  <r>
    <s v="Санкт-Петербург"/>
    <x v="5"/>
    <s v="Monster Bike 20x"/>
    <n v="4122"/>
    <s v="56274.21"/>
    <n v="2886252.5"/>
    <n v="2872094.73"/>
    <n v="140685.52499999999"/>
    <n v="2872094.73"/>
    <n v="140685.52499999999"/>
    <n v="2731409.2050000001"/>
  </r>
  <r>
    <s v="Санкт-Петербург"/>
    <x v="5"/>
    <s v="Ninebot Max G30"/>
    <n v="4126"/>
    <s v="56279.24"/>
    <n v="2892505"/>
    <n v="2878682.25"/>
    <n v="67535.088000000003"/>
    <n v="2878682.25"/>
    <n v="67535.088000000003"/>
    <n v="2811147.162"/>
  </r>
  <r>
    <s v="Санкт-Петербург"/>
    <x v="5"/>
    <s v="Xiaomi Mi Pro 2"/>
    <n v="4099"/>
    <s v="55107.74"/>
    <n v="2846223.5"/>
    <n v="2832072.37"/>
    <n v="49596.966"/>
    <n v="2832072.37"/>
    <n v="49596.966"/>
    <n v="2782475.4040000001"/>
  </r>
  <r>
    <s v="Екатеринбург"/>
    <x v="6"/>
    <s v="GoPro Hero 11"/>
    <n v="4200"/>
    <s v="56809.11"/>
    <n v="2914469.5"/>
    <n v="2900551.06"/>
    <n v="0"/>
    <n v="2900551.06"/>
    <n v="0"/>
    <n v="2900551.06"/>
  </r>
  <r>
    <s v="Екатеринбург"/>
    <x v="6"/>
    <s v="Monster Bike 20x"/>
    <n v="4075"/>
    <s v="55034.58"/>
    <n v="2854603.5"/>
    <n v="2841441.96"/>
    <n v="137586.45000000001"/>
    <n v="2841441.96"/>
    <n v="137586.45000000001"/>
    <n v="2703855.51"/>
  </r>
  <r>
    <s v="Екатеринбург"/>
    <x v="6"/>
    <s v="Ninebot Max G30"/>
    <n v="4301"/>
    <s v="58246.08"/>
    <n v="2979749"/>
    <n v="2965903.28"/>
    <n v="69895.296000000002"/>
    <n v="2965903.28"/>
    <n v="69895.296000000002"/>
    <n v="2896007.9839999997"/>
  </r>
  <r>
    <s v="Екатеринбург"/>
    <x v="6"/>
    <s v="Xiaomi Mi Pro 2"/>
    <n v="4048"/>
    <s v="55557.91"/>
    <n v="2836190"/>
    <n v="2822710.08"/>
    <n v="50002.118999999999"/>
    <n v="2822710.08"/>
    <n v="50002.118999999999"/>
    <n v="2772707.9610000001"/>
  </r>
  <r>
    <s v="Казань"/>
    <x v="6"/>
    <s v="GoPro Hero 11"/>
    <n v="4269"/>
    <s v="57966.44"/>
    <n v="2945846.5"/>
    <n v="2932232.89"/>
    <n v="0"/>
    <n v="2932232.89"/>
    <n v="0"/>
    <n v="2932232.89"/>
  </r>
  <r>
    <s v="Казань"/>
    <x v="6"/>
    <s v="Monster Bike 20x"/>
    <n v="4182"/>
    <s v="56785.29"/>
    <n v="2939066"/>
    <n v="2926292.34"/>
    <n v="141963.22500000001"/>
    <n v="2926292.34"/>
    <n v="141963.22500000001"/>
    <n v="2784329.1149999998"/>
  </r>
  <r>
    <s v="Казань"/>
    <x v="6"/>
    <s v="Ninebot Max G30"/>
    <n v="4253"/>
    <s v="57972.00"/>
    <n v="2978049.5"/>
    <n v="2963739.71"/>
    <n v="69566.399999999994"/>
    <n v="2963739.71"/>
    <n v="69566.399999999994"/>
    <n v="2894173.31"/>
  </r>
  <r>
    <s v="Казань"/>
    <x v="6"/>
    <s v="Xiaomi Mi Pro 2"/>
    <n v="4258"/>
    <s v="57491.07"/>
    <n v="2935779.5"/>
    <n v="2922069.78"/>
    <n v="51741.963000000003"/>
    <n v="2922069.78"/>
    <n v="51741.963000000003"/>
    <n v="2870327.8169999998"/>
  </r>
  <r>
    <s v="Москва"/>
    <x v="6"/>
    <s v="GoPro Hero 11"/>
    <n v="4253"/>
    <s v="58022.08"/>
    <n v="2976164"/>
    <n v="2962775.88"/>
    <n v="0"/>
    <n v="2962775.88"/>
    <n v="0"/>
    <n v="2962775.88"/>
  </r>
  <r>
    <s v="Москва"/>
    <x v="6"/>
    <s v="Monster Bike 20x"/>
    <n v="4044"/>
    <s v="54857.48"/>
    <n v="2845932.5"/>
    <n v="2831849.03"/>
    <n v="137143.70000000001"/>
    <n v="2831849.03"/>
    <n v="137143.70000000001"/>
    <n v="2694705.3299999996"/>
  </r>
  <r>
    <s v="Москва"/>
    <x v="6"/>
    <s v="Ninebot Max G30"/>
    <n v="4327"/>
    <s v="58122.55"/>
    <n v="3001048.5"/>
    <n v="2987094.14"/>
    <n v="69747.06"/>
    <n v="2987094.14"/>
    <n v="69747.06"/>
    <n v="2917347.08"/>
  </r>
  <r>
    <s v="Москва"/>
    <x v="6"/>
    <s v="Xiaomi Mi Pro 2"/>
    <n v="4109"/>
    <s v="56228.30"/>
    <n v="2877559"/>
    <n v="2864302.71"/>
    <n v="50605.47"/>
    <n v="2864302.71"/>
    <n v="50605.47"/>
    <n v="2813697.2399999998"/>
  </r>
  <r>
    <s v="Новосибирск"/>
    <x v="6"/>
    <s v="GoPro Hero 11"/>
    <n v="4142"/>
    <s v="56278.56"/>
    <n v="2880229"/>
    <n v="2866365.66"/>
    <n v="0"/>
    <n v="2866365.66"/>
    <n v="0"/>
    <n v="2866365.66"/>
  </r>
  <r>
    <s v="Новосибирск"/>
    <x v="6"/>
    <s v="Monster Bike 20x"/>
    <n v="3951"/>
    <s v="53151.57"/>
    <n v="2743688.5"/>
    <n v="2730674.2"/>
    <n v="132878.92499999999"/>
    <n v="2730674.2"/>
    <n v="132878.92499999999"/>
    <n v="2597795.2750000004"/>
  </r>
  <r>
    <s v="Новосибирск"/>
    <x v="6"/>
    <s v="Ninebot Max G30"/>
    <n v="4104"/>
    <s v="56244.53"/>
    <n v="2866709"/>
    <n v="2853398.06"/>
    <n v="67493.436000000002"/>
    <n v="2853398.06"/>
    <n v="67493.436000000002"/>
    <n v="2785904.6239999998"/>
  </r>
  <r>
    <s v="Новосибирск"/>
    <x v="6"/>
    <s v="Xiaomi Mi Pro 2"/>
    <n v="4074"/>
    <s v="55608.02"/>
    <n v="2873817.5"/>
    <n v="2861562.98"/>
    <n v="50047.218000000001"/>
    <n v="2861562.98"/>
    <n v="50047.218000000001"/>
    <n v="2811515.7620000001"/>
  </r>
  <r>
    <s v="Санкт-Петербург"/>
    <x v="6"/>
    <s v="GoPro Hero 11"/>
    <n v="4124"/>
    <s v="56133.31"/>
    <n v="2849028"/>
    <n v="2835054.69"/>
    <n v="0"/>
    <n v="2835054.69"/>
    <n v="0"/>
    <n v="2835054.69"/>
  </r>
  <r>
    <s v="Санкт-Петербург"/>
    <x v="6"/>
    <s v="Monster Bike 20x"/>
    <n v="4085"/>
    <s v="56831.65"/>
    <n v="2859789.5"/>
    <n v="2846456.32"/>
    <n v="142079.125"/>
    <n v="2846456.32"/>
    <n v="142079.125"/>
    <n v="2704377.1949999998"/>
  </r>
  <r>
    <s v="Санкт-Петербург"/>
    <x v="6"/>
    <s v="Ninebot Max G30"/>
    <n v="4183"/>
    <s v="57135.56"/>
    <n v="2922220"/>
    <n v="2907899.44"/>
    <n v="68562.672000000006"/>
    <n v="2907899.44"/>
    <n v="68562.672000000006"/>
    <n v="2839336.7680000002"/>
  </r>
  <r>
    <s v="Санкт-Петербург"/>
    <x v="6"/>
    <s v="Xiaomi Mi Pro 2"/>
    <n v="4025"/>
    <s v="54836.04"/>
    <n v="2826134"/>
    <n v="2812866.57"/>
    <n v="49352.436000000002"/>
    <n v="2812866.57"/>
    <n v="49352.436000000002"/>
    <n v="2763514.1339999996"/>
  </r>
  <r>
    <s v="Екатеринбург"/>
    <x v="7"/>
    <s v="GoPro Hero 11"/>
    <n v="4077"/>
    <s v="55780.50"/>
    <n v="2872752.5"/>
    <n v="2859060.18"/>
    <n v="0"/>
    <n v="2859060.18"/>
    <n v="0"/>
    <n v="2859060.18"/>
  </r>
  <r>
    <s v="Екатеринбург"/>
    <x v="7"/>
    <s v="Monster Bike 20x"/>
    <n v="4192"/>
    <s v="56238.65"/>
    <n v="2909760.5"/>
    <n v="2895378.82"/>
    <n v="140596.625"/>
    <n v="2895378.82"/>
    <n v="140596.625"/>
    <n v="2754782.1949999998"/>
  </r>
  <r>
    <s v="Екатеринбург"/>
    <x v="7"/>
    <s v="Ninebot Max G30"/>
    <n v="4128"/>
    <s v="56837.17"/>
    <n v="2887185"/>
    <n v="2873202.59"/>
    <n v="68204.604000000007"/>
    <n v="2873202.59"/>
    <n v="68204.604000000007"/>
    <n v="2804997.986"/>
  </r>
  <r>
    <s v="Екатеринбург"/>
    <x v="7"/>
    <s v="Xiaomi Mi Pro 2"/>
    <n v="4054"/>
    <s v="54887.52"/>
    <n v="2821719.5"/>
    <n v="2807656.67"/>
    <n v="49398.767999999996"/>
    <n v="2807656.67"/>
    <n v="49398.767999999996"/>
    <n v="2758257.9019999998"/>
  </r>
  <r>
    <s v="Казань"/>
    <x v="7"/>
    <s v="GoPro Hero 11"/>
    <n v="4196"/>
    <s v="56877.66"/>
    <n v="2910575.5"/>
    <n v="2896203.38"/>
    <n v="0"/>
    <n v="2896203.38"/>
    <n v="0"/>
    <n v="2896203.38"/>
  </r>
  <r>
    <s v="Казань"/>
    <x v="7"/>
    <s v="Monster Bike 20x"/>
    <n v="4114"/>
    <s v="56855.18"/>
    <n v="2876398"/>
    <n v="2863353.71"/>
    <n v="142137.95000000001"/>
    <n v="2863353.71"/>
    <n v="142137.95000000001"/>
    <n v="2721215.76"/>
  </r>
  <r>
    <s v="Казань"/>
    <x v="7"/>
    <s v="Ninebot Max G30"/>
    <n v="4158"/>
    <s v="56951.40"/>
    <n v="2898450.5"/>
    <n v="2884871.39"/>
    <n v="68341.679999999993"/>
    <n v="2884871.39"/>
    <n v="68341.679999999993"/>
    <n v="2816529.71"/>
  </r>
  <r>
    <s v="Казань"/>
    <x v="7"/>
    <s v="Xiaomi Mi Pro 2"/>
    <n v="4135"/>
    <s v="56409.88"/>
    <n v="2891162.5"/>
    <n v="2877230.2"/>
    <n v="50768.892"/>
    <n v="2877230.2"/>
    <n v="50768.892"/>
    <n v="2826461.3080000002"/>
  </r>
  <r>
    <s v="Москва"/>
    <x v="7"/>
    <s v="GoPro Hero 11"/>
    <n v="4265"/>
    <s v="58216.92"/>
    <n v="2982830.5"/>
    <n v="2967887.68"/>
    <n v="0"/>
    <n v="2967887.68"/>
    <n v="0"/>
    <n v="2967887.68"/>
  </r>
  <r>
    <s v="Москва"/>
    <x v="7"/>
    <s v="Monster Bike 20x"/>
    <n v="4261"/>
    <s v="57491.24"/>
    <n v="2964050.5"/>
    <n v="2949900.1"/>
    <n v="143728.1"/>
    <n v="2949900.1"/>
    <n v="143728.1"/>
    <n v="2806172"/>
  </r>
  <r>
    <s v="Москва"/>
    <x v="7"/>
    <s v="Ninebot Max G30"/>
    <n v="4323"/>
    <s v="59390.65"/>
    <n v="3042169.5"/>
    <n v="3027474.93"/>
    <n v="71268.78"/>
    <n v="3027474.93"/>
    <n v="71268.78"/>
    <n v="2956206.1500000004"/>
  </r>
  <r>
    <s v="Москва"/>
    <x v="7"/>
    <s v="Xiaomi Mi Pro 2"/>
    <n v="4085"/>
    <s v="55288.47"/>
    <n v="2839248"/>
    <n v="2824850.34"/>
    <n v="49759.623"/>
    <n v="2824850.34"/>
    <n v="49759.623"/>
    <n v="2775090.7169999997"/>
  </r>
  <r>
    <s v="Новосибирск"/>
    <x v="7"/>
    <s v="GoPro Hero 11"/>
    <n v="4130"/>
    <s v="56286.08"/>
    <n v="2882417"/>
    <n v="2868541.33"/>
    <n v="0"/>
    <n v="2868541.33"/>
    <n v="0"/>
    <n v="2868541.33"/>
  </r>
  <r>
    <s v="Новосибирск"/>
    <x v="7"/>
    <s v="Monster Bike 20x"/>
    <n v="4140"/>
    <s v="56956.75"/>
    <n v="2924595"/>
    <n v="2910764.66"/>
    <n v="142391.875"/>
    <n v="2910764.66"/>
    <n v="142391.875"/>
    <n v="2768372.7850000001"/>
  </r>
  <r>
    <s v="Новосибирск"/>
    <x v="7"/>
    <s v="Ninebot Max G30"/>
    <n v="4141"/>
    <s v="56725.49"/>
    <n v="2909160"/>
    <n v="2895111.11"/>
    <n v="68070.588000000003"/>
    <n v="2895111.11"/>
    <n v="68070.588000000003"/>
    <n v="2827040.5219999999"/>
  </r>
  <r>
    <s v="Новосибирск"/>
    <x v="7"/>
    <s v="Xiaomi Mi Pro 2"/>
    <n v="3973"/>
    <s v="54672.42"/>
    <n v="2789941"/>
    <n v="2776023.94"/>
    <n v="49205.178"/>
    <n v="2776023.94"/>
    <n v="49205.178"/>
    <n v="2726818.7620000001"/>
  </r>
  <r>
    <s v="Санкт-Петербург"/>
    <x v="7"/>
    <s v="GoPro Hero 11"/>
    <n v="4143"/>
    <s v="56270.06"/>
    <n v="2882542"/>
    <n v="2868500.09"/>
    <n v="0"/>
    <n v="2868500.09"/>
    <n v="0"/>
    <n v="2868500.09"/>
  </r>
  <r>
    <s v="Санкт-Петербург"/>
    <x v="7"/>
    <s v="Monster Bike 20x"/>
    <n v="4083"/>
    <s v="55687.83"/>
    <n v="2854271"/>
    <n v="2839810.21"/>
    <n v="139219.57500000001"/>
    <n v="2839810.21"/>
    <n v="139219.57500000001"/>
    <n v="2700590.6349999998"/>
  </r>
  <r>
    <s v="Санкт-Петербург"/>
    <x v="7"/>
    <s v="Ninebot Max G30"/>
    <n v="4243"/>
    <s v="57422.85"/>
    <n v="2949642.5"/>
    <n v="2935257.49"/>
    <n v="68907.42"/>
    <n v="2935257.49"/>
    <n v="68907.42"/>
    <n v="2866350.0700000003"/>
  </r>
  <r>
    <s v="Санкт-Петербург"/>
    <x v="7"/>
    <s v="Xiaomi Mi Pro 2"/>
    <n v="4069"/>
    <s v="55915.43"/>
    <n v="2821557"/>
    <n v="2807452.1"/>
    <n v="50323.887000000002"/>
    <n v="2807452.1"/>
    <n v="50323.887000000002"/>
    <n v="2757128.213"/>
  </r>
  <r>
    <s v="Екатеринбург"/>
    <x v="8"/>
    <s v="GoPro Hero 11"/>
    <n v="4144"/>
    <s v="57148.12"/>
    <n v="2899555"/>
    <n v="2884812.56"/>
    <n v="0"/>
    <n v="2884812.56"/>
    <n v="0"/>
    <n v="2884812.56"/>
  </r>
  <r>
    <s v="Екатеринбург"/>
    <x v="8"/>
    <s v="Monster Bike 20x"/>
    <n v="4115"/>
    <s v="56243.26"/>
    <n v="2856526"/>
    <n v="2842152.89"/>
    <n v="140608.15"/>
    <n v="2842152.89"/>
    <n v="140608.15"/>
    <n v="2701544.74"/>
  </r>
  <r>
    <s v="Екатеринбург"/>
    <x v="8"/>
    <s v="Ninebot Max G30"/>
    <n v="4309"/>
    <s v="58411.07"/>
    <n v="3009976"/>
    <n v="2995530.79"/>
    <n v="70093.284"/>
    <n v="2995530.79"/>
    <n v="70093.284"/>
    <n v="2925437.5060000001"/>
  </r>
  <r>
    <s v="Екатеринбург"/>
    <x v="8"/>
    <s v="Xiaomi Mi Pro 2"/>
    <n v="4070"/>
    <s v="55526.47"/>
    <n v="2828535.5"/>
    <n v="2815260.83"/>
    <n v="49973.822999999997"/>
    <n v="2815260.83"/>
    <n v="49973.822999999997"/>
    <n v="2765287.0070000002"/>
  </r>
  <r>
    <s v="Казань"/>
    <x v="8"/>
    <s v="GoPro Hero 11"/>
    <n v="4094"/>
    <s v="55600.74"/>
    <n v="2829094"/>
    <n v="2815706.94"/>
    <n v="0"/>
    <n v="2815706.94"/>
    <n v="0"/>
    <n v="2815706.94"/>
  </r>
  <r>
    <s v="Казань"/>
    <x v="8"/>
    <s v="Monster Bike 20x"/>
    <n v="4136"/>
    <s v="55691.36"/>
    <n v="2861250.5"/>
    <n v="2847341.94"/>
    <n v="139228.4"/>
    <n v="2847341.94"/>
    <n v="139228.4"/>
    <n v="2708113.54"/>
  </r>
  <r>
    <s v="Казань"/>
    <x v="8"/>
    <s v="Ninebot Max G30"/>
    <n v="4303"/>
    <s v="59059.56"/>
    <n v="2993690.5"/>
    <n v="2979674.7"/>
    <n v="70871.471999999994"/>
    <n v="2979674.7"/>
    <n v="70871.471999999994"/>
    <n v="2908803.2280000001"/>
  </r>
  <r>
    <s v="Казань"/>
    <x v="8"/>
    <s v="Xiaomi Mi Pro 2"/>
    <n v="4132"/>
    <s v="56421.15"/>
    <n v="2853271"/>
    <n v="2840099.65"/>
    <n v="50779.035000000003"/>
    <n v="2840099.65"/>
    <n v="50779.035000000003"/>
    <n v="2789320.6149999998"/>
  </r>
  <r>
    <s v="Москва"/>
    <x v="8"/>
    <s v="GoPro Hero 11"/>
    <n v="4307"/>
    <s v="58476.45"/>
    <n v="3001629.5"/>
    <n v="2987301.72"/>
    <n v="0"/>
    <n v="2987301.72"/>
    <n v="0"/>
    <n v="2987301.72"/>
  </r>
  <r>
    <s v="Москва"/>
    <x v="8"/>
    <s v="Monster Bike 20x"/>
    <n v="4247"/>
    <s v="57967.24"/>
    <n v="2944768"/>
    <n v="2929718.49"/>
    <n v="144918.1"/>
    <n v="2929718.49"/>
    <n v="144918.1"/>
    <n v="2784800.39"/>
  </r>
  <r>
    <s v="Москва"/>
    <x v="8"/>
    <s v="Ninebot Max G30"/>
    <n v="4291"/>
    <s v="58807.54"/>
    <n v="3027605.5"/>
    <n v="3013987.11"/>
    <n v="70569.047999999995"/>
    <n v="3013987.11"/>
    <n v="70569.047999999995"/>
    <n v="2943418.0619999999"/>
  </r>
  <r>
    <s v="Москва"/>
    <x v="8"/>
    <s v="Xiaomi Mi Pro 2"/>
    <n v="4105"/>
    <s v="56114.07"/>
    <n v="2863483"/>
    <n v="2849255.5"/>
    <n v="50502.663"/>
    <n v="2849255.5"/>
    <n v="50502.663"/>
    <n v="2798752.8369999998"/>
  </r>
  <r>
    <s v="Новосибирск"/>
    <x v="8"/>
    <s v="GoPro Hero 11"/>
    <n v="4015"/>
    <s v="53894.62"/>
    <n v="2755812.5"/>
    <n v="2741935.22"/>
    <n v="0"/>
    <n v="2741935.22"/>
    <n v="0"/>
    <n v="2741935.22"/>
  </r>
  <r>
    <s v="Новосибирск"/>
    <x v="8"/>
    <s v="Monster Bike 20x"/>
    <n v="4031"/>
    <s v="55904.81"/>
    <n v="2833676"/>
    <n v="2819730.38"/>
    <n v="139762.02499999999"/>
    <n v="2819730.38"/>
    <n v="139762.02499999999"/>
    <n v="2679968.355"/>
  </r>
  <r>
    <s v="Новосибирск"/>
    <x v="8"/>
    <s v="Ninebot Max G30"/>
    <n v="4170"/>
    <s v="56938.40"/>
    <n v="2902808"/>
    <n v="2889090.64"/>
    <n v="68326.080000000002"/>
    <n v="2889090.64"/>
    <n v="68326.080000000002"/>
    <n v="2820764.56"/>
  </r>
  <r>
    <s v="Новосибирск"/>
    <x v="8"/>
    <s v="Xiaomi Mi Pro 2"/>
    <n v="4105"/>
    <s v="56269.10"/>
    <n v="2862380.5"/>
    <n v="2848647.61"/>
    <n v="50642.19"/>
    <n v="2848647.61"/>
    <n v="50642.19"/>
    <n v="2798005.42"/>
  </r>
  <r>
    <s v="Санкт-Петербург"/>
    <x v="8"/>
    <s v="GoPro Hero 11"/>
    <n v="4132"/>
    <s v="55976.90"/>
    <n v="2860520"/>
    <n v="2846411.51"/>
    <n v="0"/>
    <n v="2846411.51"/>
    <n v="0"/>
    <n v="2846411.51"/>
  </r>
  <r>
    <s v="Санкт-Петербург"/>
    <x v="8"/>
    <s v="Monster Bike 20x"/>
    <n v="4183"/>
    <s v="57277.31"/>
    <n v="2934554"/>
    <n v="2920119.81"/>
    <n v="143193.27499999999"/>
    <n v="2920119.81"/>
    <n v="143193.27499999999"/>
    <n v="2776926.5350000001"/>
  </r>
  <r>
    <s v="Санкт-Петербург"/>
    <x v="8"/>
    <s v="Ninebot Max G30"/>
    <n v="4129"/>
    <s v="56296.42"/>
    <n v="2907224"/>
    <n v="2893391.27"/>
    <n v="67555.703999999998"/>
    <n v="2893391.27"/>
    <n v="67555.703999999998"/>
    <n v="2825835.5660000001"/>
  </r>
  <r>
    <s v="Санкт-Петербург"/>
    <x v="8"/>
    <s v="Xiaomi Mi Pro 2"/>
    <n v="4045"/>
    <s v="55103.03"/>
    <n v="2859880"/>
    <n v="2846516.51"/>
    <n v="49592.726999999999"/>
    <n v="2846516.51"/>
    <n v="49592.726999999999"/>
    <n v="2796923.7829999998"/>
  </r>
  <r>
    <s v="Екатеринбург"/>
    <x v="9"/>
    <s v="GoPro Hero 11"/>
    <n v="4174"/>
    <s v="56648.79"/>
    <n v="2904618.5"/>
    <n v="2890370.14"/>
    <n v="0"/>
    <n v="2890370.14"/>
    <n v="0"/>
    <n v="2890370.14"/>
  </r>
  <r>
    <s v="Екатеринбург"/>
    <x v="9"/>
    <s v="Monster Bike 20x"/>
    <n v="4171"/>
    <s v="56065.00"/>
    <n v="2900744.5"/>
    <n v="2886299.26"/>
    <n v="140162.5"/>
    <n v="2886299.26"/>
    <n v="140162.5"/>
    <n v="2746136.76"/>
  </r>
  <r>
    <s v="Екатеринбург"/>
    <x v="9"/>
    <s v="Ninebot Max G30"/>
    <n v="4166"/>
    <s v="56527.11"/>
    <n v="2916868.5"/>
    <n v="2902299.63"/>
    <n v="67832.532000000007"/>
    <n v="2902299.63"/>
    <n v="67832.532000000007"/>
    <n v="2834467.0979999998"/>
  </r>
  <r>
    <s v="Екатеринбург"/>
    <x v="9"/>
    <s v="Xiaomi Mi Pro 2"/>
    <n v="4081"/>
    <s v="55170.45"/>
    <n v="2830102.5"/>
    <n v="2816182.26"/>
    <n v="49653.404999999999"/>
    <n v="2816182.26"/>
    <n v="49653.404999999999"/>
    <n v="2766528.855"/>
  </r>
  <r>
    <s v="Казань"/>
    <x v="9"/>
    <s v="GoPro Hero 11"/>
    <n v="4331"/>
    <s v="59122.08"/>
    <n v="3026936.5"/>
    <n v="3013596.61"/>
    <n v="0"/>
    <n v="3013596.61"/>
    <n v="0"/>
    <n v="3013596.61"/>
  </r>
  <r>
    <s v="Казань"/>
    <x v="9"/>
    <s v="Monster Bike 20x"/>
    <n v="4292"/>
    <s v="58458.92"/>
    <n v="2976362"/>
    <n v="2961574.12"/>
    <n v="146147.29999999999"/>
    <n v="2961574.12"/>
    <n v="146147.29999999999"/>
    <n v="2815426.8200000003"/>
  </r>
  <r>
    <s v="Казань"/>
    <x v="9"/>
    <s v="Ninebot Max G30"/>
    <n v="4187"/>
    <s v="56801.91"/>
    <n v="2925334"/>
    <n v="2910966.28"/>
    <n v="68162.292000000001"/>
    <n v="2910966.28"/>
    <n v="68162.292000000001"/>
    <n v="2842803.9879999999"/>
  </r>
  <r>
    <s v="Казань"/>
    <x v="9"/>
    <s v="Xiaomi Mi Pro 2"/>
    <n v="4121"/>
    <s v="55551.76"/>
    <n v="2849922.5"/>
    <n v="2836101.49"/>
    <n v="49996.584000000003"/>
    <n v="2836101.49"/>
    <n v="49996.584000000003"/>
    <n v="2786104.9060000004"/>
  </r>
  <r>
    <s v="Москва"/>
    <x v="9"/>
    <s v="GoPro Hero 11"/>
    <n v="4278"/>
    <s v="57972.50"/>
    <n v="3003227"/>
    <n v="2988739.09"/>
    <n v="0"/>
    <n v="2988739.09"/>
    <n v="0"/>
    <n v="2988739.09"/>
  </r>
  <r>
    <s v="Москва"/>
    <x v="9"/>
    <s v="Monster Bike 20x"/>
    <n v="4281"/>
    <s v="58539.28"/>
    <n v="2973946.5"/>
    <n v="2959504.77"/>
    <n v="146348.20000000001"/>
    <n v="2959504.77"/>
    <n v="146348.20000000001"/>
    <n v="2813156.57"/>
  </r>
  <r>
    <s v="Москва"/>
    <x v="9"/>
    <s v="Ninebot Max G30"/>
    <n v="4211"/>
    <s v="57752.33"/>
    <n v="2946215.5"/>
    <n v="2931829.03"/>
    <n v="69302.796000000002"/>
    <n v="2931829.03"/>
    <n v="69302.796000000002"/>
    <n v="2862526.2339999997"/>
  </r>
  <r>
    <s v="Москва"/>
    <x v="9"/>
    <s v="Xiaomi Mi Pro 2"/>
    <n v="4102"/>
    <s v="55944.42"/>
    <n v="2866600.5"/>
    <n v="2852388.85"/>
    <n v="50349.978000000003"/>
    <n v="2852388.85"/>
    <n v="50349.978000000003"/>
    <n v="2802038.872"/>
  </r>
  <r>
    <s v="Новосибирск"/>
    <x v="9"/>
    <s v="GoPro Hero 11"/>
    <n v="3975"/>
    <s v="54565.80"/>
    <n v="2771687"/>
    <n v="2758227.99"/>
    <n v="0"/>
    <n v="2758227.99"/>
    <n v="0"/>
    <n v="2758227.99"/>
  </r>
  <r>
    <s v="Новосибирск"/>
    <x v="9"/>
    <s v="Monster Bike 20x"/>
    <n v="4081"/>
    <s v="55551.01"/>
    <n v="2831634"/>
    <n v="2818305"/>
    <n v="138877.52499999999"/>
    <n v="2818305"/>
    <n v="138877.52499999999"/>
    <n v="2679427.4750000001"/>
  </r>
  <r>
    <s v="Новосибирск"/>
    <x v="9"/>
    <s v="Ninebot Max G30"/>
    <n v="4142"/>
    <s v="57188.30"/>
    <n v="2902020"/>
    <n v="2888843.52"/>
    <n v="68625.960000000006"/>
    <n v="2888843.52"/>
    <n v="68625.960000000006"/>
    <n v="2820217.56"/>
  </r>
  <r>
    <s v="Новосибирск"/>
    <x v="9"/>
    <s v="Xiaomi Mi Pro 2"/>
    <n v="4102"/>
    <s v="56047.43"/>
    <n v="2863327.5"/>
    <n v="2849426.22"/>
    <n v="50442.686999999998"/>
    <n v="2849426.22"/>
    <n v="50442.686999999998"/>
    <n v="2798983.5330000003"/>
  </r>
  <r>
    <s v="Санкт-Петербург"/>
    <x v="9"/>
    <s v="GoPro Hero 11"/>
    <n v="4224"/>
    <s v="58109.24"/>
    <n v="2981861.5"/>
    <n v="2967882.2"/>
    <n v="0"/>
    <n v="2967882.2"/>
    <n v="0"/>
    <n v="2967882.2"/>
  </r>
  <r>
    <s v="Санкт-Петербург"/>
    <x v="9"/>
    <s v="Monster Bike 20x"/>
    <n v="4247"/>
    <s v="58577.88"/>
    <n v="2967711"/>
    <n v="2953073.21"/>
    <n v="146444.70000000001"/>
    <n v="2953073.21"/>
    <n v="146444.70000000001"/>
    <n v="2806628.51"/>
  </r>
  <r>
    <s v="Санкт-Петербург"/>
    <x v="9"/>
    <s v="Ninebot Max G30"/>
    <n v="4255"/>
    <s v="58163.31"/>
    <n v="2948282.5"/>
    <n v="2933703.36"/>
    <n v="69795.971999999994"/>
    <n v="2933703.36"/>
    <n v="69795.971999999994"/>
    <n v="2863907.3879999998"/>
  </r>
  <r>
    <s v="Санкт-Петербург"/>
    <x v="9"/>
    <s v="Xiaomi Mi Pro 2"/>
    <n v="4089"/>
    <s v="55192.04"/>
    <n v="2837044"/>
    <n v="2823353.61"/>
    <n v="49672.836000000003"/>
    <n v="2823353.61"/>
    <n v="49672.836000000003"/>
    <n v="2773680.7739999997"/>
  </r>
  <r>
    <s v="Екатеринбург"/>
    <x v="10"/>
    <s v="GoPro Hero 11"/>
    <n v="4199"/>
    <s v="56639.47"/>
    <n v="2917504.5"/>
    <n v="2904104.23"/>
    <n v="0"/>
    <n v="2904104.23"/>
    <n v="0"/>
    <n v="2904104.23"/>
  </r>
  <r>
    <s v="Екатеринбург"/>
    <x v="10"/>
    <s v="Monster Bike 20x"/>
    <n v="4145"/>
    <s v="55480.78"/>
    <n v="2871800.5"/>
    <n v="2858306.93"/>
    <n v="138701.95000000001"/>
    <n v="2858306.93"/>
    <n v="138701.95000000001"/>
    <n v="2719604.98"/>
  </r>
  <r>
    <s v="Екатеринбург"/>
    <x v="10"/>
    <s v="Ninebot Max G30"/>
    <n v="4168"/>
    <s v="56875.39"/>
    <n v="2893542.5"/>
    <n v="2880247.68"/>
    <n v="68250.467999999993"/>
    <n v="2880247.68"/>
    <n v="68250.467999999993"/>
    <n v="2811997.2120000003"/>
  </r>
  <r>
    <s v="Екатеринбург"/>
    <x v="10"/>
    <s v="Xiaomi Mi Pro 2"/>
    <n v="4083"/>
    <s v="55576.65"/>
    <n v="2843652.5"/>
    <n v="2830298.42"/>
    <n v="50018.985000000001"/>
    <n v="2830298.42"/>
    <n v="50018.985000000001"/>
    <n v="2780279.4350000001"/>
  </r>
  <r>
    <s v="Казань"/>
    <x v="10"/>
    <s v="GoPro Hero 11"/>
    <n v="4270"/>
    <s v="57861.58"/>
    <n v="2954412.5"/>
    <n v="2939070.82"/>
    <n v="0"/>
    <n v="2939070.82"/>
    <n v="0"/>
    <n v="2939070.82"/>
  </r>
  <r>
    <s v="Казань"/>
    <x v="10"/>
    <s v="Monster Bike 20x"/>
    <n v="4137"/>
    <s v="55281.32"/>
    <n v="2885681.5"/>
    <n v="2871611.55"/>
    <n v="138203.29999999999"/>
    <n v="2871611.55"/>
    <n v="138203.29999999999"/>
    <n v="2733408.25"/>
  </r>
  <r>
    <s v="Казань"/>
    <x v="10"/>
    <s v="Ninebot Max G30"/>
    <n v="4231"/>
    <s v="58393.82"/>
    <n v="2933489"/>
    <n v="2919439.06"/>
    <n v="70072.584000000003"/>
    <n v="2919439.06"/>
    <n v="70072.584000000003"/>
    <n v="2849366.4760000003"/>
  </r>
  <r>
    <s v="Казань"/>
    <x v="10"/>
    <s v="Xiaomi Mi Pro 2"/>
    <n v="4101"/>
    <s v="55857.36"/>
    <n v="2838421.5"/>
    <n v="2825836.83"/>
    <n v="50271.624000000003"/>
    <n v="2825836.83"/>
    <n v="50271.624000000003"/>
    <n v="2775565.2060000002"/>
  </r>
  <r>
    <s v="Москва"/>
    <x v="10"/>
    <s v="GoPro Hero 11"/>
    <n v="4353"/>
    <s v="59673.59"/>
    <n v="3056413.5"/>
    <n v="3041545.83"/>
    <n v="0"/>
    <n v="3041545.83"/>
    <n v="0"/>
    <n v="3041545.83"/>
  </r>
  <r>
    <s v="Москва"/>
    <x v="10"/>
    <s v="Monster Bike 20x"/>
    <n v="4217"/>
    <s v="58430.03"/>
    <n v="2935341.5"/>
    <n v="2921172.52"/>
    <n v="146075.07500000001"/>
    <n v="2921172.52"/>
    <n v="146075.07500000001"/>
    <n v="2775097.4449999998"/>
  </r>
  <r>
    <s v="Москва"/>
    <x v="10"/>
    <s v="Ninebot Max G30"/>
    <n v="4242"/>
    <s v="57153.55"/>
    <n v="2932128"/>
    <n v="2917747.98"/>
    <n v="68584.259999999995"/>
    <n v="2917747.98"/>
    <n v="68584.259999999995"/>
    <n v="2849163.72"/>
  </r>
  <r>
    <s v="Москва"/>
    <x v="10"/>
    <s v="Xiaomi Mi Pro 2"/>
    <n v="4143"/>
    <s v="57005.23"/>
    <n v="2903798"/>
    <n v="2890517.69"/>
    <n v="51304.707000000002"/>
    <n v="2890517.69"/>
    <n v="51304.707000000002"/>
    <n v="2839212.983"/>
  </r>
  <r>
    <s v="Новосибирск"/>
    <x v="10"/>
    <s v="GoPro Hero 11"/>
    <n v="4157"/>
    <s v="57562.74"/>
    <n v="2917897.5"/>
    <n v="2904914.8"/>
    <n v="0"/>
    <n v="2904914.8"/>
    <n v="0"/>
    <n v="2904914.8"/>
  </r>
  <r>
    <s v="Новосибирск"/>
    <x v="10"/>
    <s v="Monster Bike 20x"/>
    <n v="4107"/>
    <s v="55820.55"/>
    <n v="2850973"/>
    <n v="2836913.38"/>
    <n v="139551.375"/>
    <n v="2836913.38"/>
    <n v="139551.375"/>
    <n v="2697362.0049999999"/>
  </r>
  <r>
    <s v="Новосибирск"/>
    <x v="10"/>
    <s v="Ninebot Max G30"/>
    <n v="4132"/>
    <s v="55992.91"/>
    <n v="2861111"/>
    <n v="2847620.66"/>
    <n v="67191.491999999998"/>
    <n v="2847620.66"/>
    <n v="67191.491999999998"/>
    <n v="2780429.1680000001"/>
  </r>
  <r>
    <s v="Новосибирск"/>
    <x v="10"/>
    <s v="Xiaomi Mi Pro 2"/>
    <n v="4110"/>
    <s v="56085.12"/>
    <n v="2867941.5"/>
    <n v="2854161.92"/>
    <n v="50476.608"/>
    <n v="2854161.92"/>
    <n v="50476.608"/>
    <n v="2803685.3119999999"/>
  </r>
  <r>
    <s v="Санкт-Петербург"/>
    <x v="10"/>
    <s v="GoPro Hero 11"/>
    <n v="4172"/>
    <s v="56809.82"/>
    <n v="2918901"/>
    <n v="2905106.22"/>
    <n v="0"/>
    <n v="2905106.22"/>
    <n v="0"/>
    <n v="2905106.22"/>
  </r>
  <r>
    <s v="Санкт-Петербург"/>
    <x v="10"/>
    <s v="Monster Bike 20x"/>
    <n v="4048"/>
    <s v="55937.35"/>
    <n v="2857013"/>
    <n v="2843175.09"/>
    <n v="139843.375"/>
    <n v="2843175.09"/>
    <n v="139843.375"/>
    <n v="2703331.7149999999"/>
  </r>
  <r>
    <s v="Санкт-Петербург"/>
    <x v="10"/>
    <s v="Ninebot Max G30"/>
    <n v="4273"/>
    <s v="57747.33"/>
    <n v="2950004"/>
    <n v="2935854.8"/>
    <n v="69296.796000000002"/>
    <n v="2935854.8"/>
    <n v="69296.796000000002"/>
    <n v="2866558.0039999997"/>
  </r>
  <r>
    <s v="Санкт-Петербург"/>
    <x v="10"/>
    <s v="Xiaomi Mi Pro 2"/>
    <n v="3963"/>
    <s v="53503.09"/>
    <n v="2744888.5"/>
    <n v="2732120.32"/>
    <n v="48152.781000000003"/>
    <n v="2732120.32"/>
    <n v="48152.781000000003"/>
    <n v="2683967.5389999999"/>
  </r>
  <r>
    <s v="Екатеринбург"/>
    <x v="11"/>
    <s v="GoPro Hero 11"/>
    <n v="4291"/>
    <s v="58645.71"/>
    <n v="2995984.5"/>
    <n v="2983379.79"/>
    <n v="0"/>
    <n v="2983379.79"/>
    <n v="0"/>
    <n v="2983379.79"/>
  </r>
  <r>
    <s v="Екатеринбург"/>
    <x v="11"/>
    <s v="Monster Bike 20x"/>
    <n v="4061"/>
    <s v="55475.05"/>
    <n v="2836271.5"/>
    <n v="2822776.74"/>
    <n v="138687.625"/>
    <n v="2822776.74"/>
    <n v="138687.625"/>
    <n v="2684089.1150000002"/>
  </r>
  <r>
    <s v="Екатеринбург"/>
    <x v="11"/>
    <s v="Ninebot Max G30"/>
    <n v="4199"/>
    <s v="58429.01"/>
    <n v="2975401.5"/>
    <n v="2961362.68"/>
    <n v="70114.812000000005"/>
    <n v="2961362.68"/>
    <n v="70114.812000000005"/>
    <n v="2891247.8680000002"/>
  </r>
  <r>
    <s v="Екатеринбург"/>
    <x v="11"/>
    <s v="Xiaomi Mi Pro 2"/>
    <n v="4150"/>
    <s v="57043.48"/>
    <n v="2906171.5"/>
    <n v="2892580.3"/>
    <n v="51339.131999999998"/>
    <n v="2892580.3"/>
    <n v="51339.131999999998"/>
    <n v="2841241.1679999996"/>
  </r>
  <r>
    <s v="Казань"/>
    <x v="11"/>
    <s v="GoPro Hero 11"/>
    <n v="4221"/>
    <s v="57927.09"/>
    <n v="2990815.5"/>
    <n v="2977514.21"/>
    <n v="0"/>
    <n v="2977514.21"/>
    <n v="0"/>
    <n v="2977514.21"/>
  </r>
  <r>
    <s v="Казань"/>
    <x v="11"/>
    <s v="Monster Bike 20x"/>
    <n v="4137"/>
    <s v="56070.17"/>
    <n v="2848198"/>
    <n v="2834189.27"/>
    <n v="140175.42499999999"/>
    <n v="2834189.27"/>
    <n v="140175.42499999999"/>
    <n v="2694013.8450000002"/>
  </r>
  <r>
    <s v="Казань"/>
    <x v="11"/>
    <s v="Ninebot Max G30"/>
    <n v="4215"/>
    <s v="57720.18"/>
    <n v="2933035"/>
    <n v="2919447.38"/>
    <n v="69264.216"/>
    <n v="2919447.38"/>
    <n v="69264.216"/>
    <n v="2850183.1639999999"/>
  </r>
  <r>
    <s v="Казань"/>
    <x v="11"/>
    <s v="Xiaomi Mi Pro 2"/>
    <n v="4175"/>
    <s v="57393.09"/>
    <n v="2932587.5"/>
    <n v="2918520.57"/>
    <n v="51653.781000000003"/>
    <n v="2918520.57"/>
    <n v="51653.781000000003"/>
    <n v="2866866.7889999999"/>
  </r>
  <r>
    <s v="Москва"/>
    <x v="11"/>
    <s v="GoPro Hero 11"/>
    <n v="4289"/>
    <s v="59414.20"/>
    <n v="3026866.5"/>
    <n v="3011703.57"/>
    <n v="0"/>
    <n v="3011703.57"/>
    <n v="0"/>
    <n v="3011703.57"/>
  </r>
  <r>
    <s v="Москва"/>
    <x v="11"/>
    <s v="Monster Bike 20x"/>
    <n v="4212"/>
    <s v="57266.78"/>
    <n v="2919208.5"/>
    <n v="2905441.68"/>
    <n v="143166.95000000001"/>
    <n v="2905441.68"/>
    <n v="143166.95000000001"/>
    <n v="2762274.73"/>
  </r>
  <r>
    <s v="Москва"/>
    <x v="11"/>
    <s v="Ninebot Max G30"/>
    <n v="4367"/>
    <s v="59867.67"/>
    <n v="3039086.5"/>
    <n v="3024287.3"/>
    <n v="71841.203999999998"/>
    <n v="3024287.3"/>
    <n v="71841.203999999998"/>
    <n v="2952446.0959999999"/>
  </r>
  <r>
    <s v="Москва"/>
    <x v="11"/>
    <s v="Xiaomi Mi Pro 2"/>
    <n v="4058"/>
    <s v="55263.89"/>
    <n v="2821948.5"/>
    <n v="2808510.81"/>
    <n v="49737.500999999997"/>
    <n v="2808510.81"/>
    <n v="49737.500999999997"/>
    <n v="2758773.3089999999"/>
  </r>
  <r>
    <s v="Новосибирск"/>
    <x v="11"/>
    <s v="GoPro Hero 11"/>
    <n v="4186"/>
    <s v="56109.73"/>
    <n v="2896921"/>
    <n v="2882869.99"/>
    <n v="0"/>
    <n v="2882869.99"/>
    <n v="0"/>
    <n v="2882869.99"/>
  </r>
  <r>
    <s v="Новосибирск"/>
    <x v="11"/>
    <s v="Monster Bike 20x"/>
    <n v="4174"/>
    <s v="56698.34"/>
    <n v="2915020.5"/>
    <n v="2901954.57"/>
    <n v="141745.85"/>
    <n v="2901954.57"/>
    <n v="141745.85"/>
    <n v="2760208.7199999997"/>
  </r>
  <r>
    <s v="Новосибирск"/>
    <x v="11"/>
    <s v="Ninebot Max G30"/>
    <n v="4097"/>
    <s v="56274.89"/>
    <n v="2854773"/>
    <n v="2840224.51"/>
    <n v="67529.868000000002"/>
    <n v="2840224.51"/>
    <n v="67529.868000000002"/>
    <n v="2772694.642"/>
  </r>
  <r>
    <s v="Новосибирск"/>
    <x v="11"/>
    <s v="Xiaomi Mi Pro 2"/>
    <n v="4078"/>
    <s v="55077.79"/>
    <n v="2820173"/>
    <n v="2805661.88"/>
    <n v="49570.010999999999"/>
    <n v="2805661.88"/>
    <n v="49570.010999999999"/>
    <n v="2756091.8689999999"/>
  </r>
  <r>
    <s v="Санкт-Петербург"/>
    <x v="11"/>
    <s v="GoPro Hero 11"/>
    <n v="4048"/>
    <s v="55362.98"/>
    <n v="2808232"/>
    <n v="2794919.51"/>
    <n v="0"/>
    <n v="2794919.51"/>
    <n v="0"/>
    <n v="2794919.51"/>
  </r>
  <r>
    <s v="Санкт-Петербург"/>
    <x v="11"/>
    <s v="Monster Bike 20x"/>
    <n v="4153"/>
    <s v="57116.55"/>
    <n v="2937606"/>
    <n v="2924141.01"/>
    <n v="142791.375"/>
    <n v="2924141.01"/>
    <n v="142791.375"/>
    <n v="2781349.6349999998"/>
  </r>
  <r>
    <s v="Санкт-Петербург"/>
    <x v="11"/>
    <s v="Ninebot Max G30"/>
    <n v="4271"/>
    <s v="57444.70"/>
    <n v="2950835"/>
    <n v="2935792.9"/>
    <n v="68933.64"/>
    <n v="2935792.9"/>
    <n v="68933.64"/>
    <n v="2866859.26"/>
  </r>
  <r>
    <s v="Санкт-Петербург"/>
    <x v="11"/>
    <s v="Xiaomi Mi Pro 2"/>
    <n v="4054"/>
    <s v="56029.31"/>
    <n v="2866909"/>
    <n v="2853142.52"/>
    <n v="50426.379000000001"/>
    <n v="2853142.52"/>
    <n v="50426.379000000001"/>
    <n v="2802716.1409999998"/>
  </r>
  <r>
    <s v="Екатеринбург"/>
    <x v="12"/>
    <s v="GoPro Hero 11"/>
    <n v="4294"/>
    <s v="58537.41"/>
    <n v="3004269.5"/>
    <n v="2989972.19"/>
    <n v="0"/>
    <n v="2989972.19"/>
    <n v="0"/>
    <n v="2989972.19"/>
  </r>
  <r>
    <s v="Екатеринбург"/>
    <x v="12"/>
    <s v="Monster Bike 20x"/>
    <n v="4173"/>
    <s v="57154.38"/>
    <n v="2931421"/>
    <n v="2917589.05"/>
    <n v="142885.95000000001"/>
    <n v="2917589.05"/>
    <n v="142885.95000000001"/>
    <n v="2774703.0999999996"/>
  </r>
  <r>
    <s v="Екатеринбург"/>
    <x v="12"/>
    <s v="Ninebot Max G30"/>
    <n v="4081"/>
    <s v="55988.76"/>
    <n v="2860160.5"/>
    <n v="2845800.76"/>
    <n v="67186.512000000002"/>
    <n v="2845800.76"/>
    <n v="67186.512000000002"/>
    <n v="2778614.2479999997"/>
  </r>
  <r>
    <s v="Екатеринбург"/>
    <x v="12"/>
    <s v="Xiaomi Mi Pro 2"/>
    <n v="4132"/>
    <s v="56550.69"/>
    <n v="2894031"/>
    <n v="2879417.28"/>
    <n v="50895.620999999999"/>
    <n v="2879417.28"/>
    <n v="50895.620999999999"/>
    <n v="2828521.659"/>
  </r>
  <r>
    <s v="Казань"/>
    <x v="12"/>
    <s v="GoPro Hero 11"/>
    <n v="4257"/>
    <s v="58397.46"/>
    <n v="2959289"/>
    <n v="2944614.91"/>
    <n v="0"/>
    <n v="2944614.91"/>
    <n v="0"/>
    <n v="2944614.91"/>
  </r>
  <r>
    <s v="Казань"/>
    <x v="12"/>
    <s v="Monster Bike 20x"/>
    <n v="4120"/>
    <s v="56127.34"/>
    <n v="2889736.5"/>
    <n v="2876529.88"/>
    <n v="140318.35"/>
    <n v="2876529.88"/>
    <n v="140318.35"/>
    <n v="2736211.53"/>
  </r>
  <r>
    <s v="Казань"/>
    <x v="12"/>
    <s v="Ninebot Max G30"/>
    <n v="4303"/>
    <s v="58929.34"/>
    <n v="2986508"/>
    <n v="2971829.3"/>
    <n v="70715.207999999999"/>
    <n v="2971829.3"/>
    <n v="70715.207999999999"/>
    <n v="2901114.0919999997"/>
  </r>
  <r>
    <s v="Казань"/>
    <x v="12"/>
    <s v="Xiaomi Mi Pro 2"/>
    <n v="4082"/>
    <s v="56057.25"/>
    <n v="2856781.5"/>
    <n v="2843210.74"/>
    <n v="50451.525000000001"/>
    <n v="2843210.74"/>
    <n v="50451.525000000001"/>
    <n v="2792759.2150000003"/>
  </r>
  <r>
    <s v="Москва"/>
    <x v="12"/>
    <s v="GoPro Hero 11"/>
    <n v="4132"/>
    <s v="57100.82"/>
    <n v="2907135.5"/>
    <n v="2892759.62"/>
    <n v="0"/>
    <n v="2892759.62"/>
    <n v="0"/>
    <n v="2892759.62"/>
  </r>
  <r>
    <s v="Москва"/>
    <x v="12"/>
    <s v="Monster Bike 20x"/>
    <n v="4288"/>
    <s v="58320.33"/>
    <n v="3009140"/>
    <n v="2993951.5"/>
    <n v="145800.82500000001"/>
    <n v="2993951.5"/>
    <n v="145800.82500000001"/>
    <n v="2848150.6749999998"/>
  </r>
  <r>
    <s v="Москва"/>
    <x v="12"/>
    <s v="Ninebot Max G30"/>
    <n v="4251"/>
    <s v="58724.11"/>
    <n v="2969660.5"/>
    <n v="2956066.35"/>
    <n v="70468.932000000001"/>
    <n v="2956066.35"/>
    <n v="70468.932000000001"/>
    <n v="2885597.4180000001"/>
  </r>
  <r>
    <s v="Москва"/>
    <x v="12"/>
    <s v="Xiaomi Mi Pro 2"/>
    <n v="4195"/>
    <s v="56953.29"/>
    <n v="2966333.5"/>
    <n v="2952679.24"/>
    <n v="51257.961000000003"/>
    <n v="2952679.24"/>
    <n v="51257.961000000003"/>
    <n v="2901421.2790000001"/>
  </r>
  <r>
    <s v="Новосибирск"/>
    <x v="12"/>
    <s v="GoPro Hero 11"/>
    <n v="4070"/>
    <s v="55628.70"/>
    <n v="2839816.5"/>
    <n v="2824809.57"/>
    <n v="0"/>
    <n v="2824809.57"/>
    <n v="0"/>
    <n v="2824809.57"/>
  </r>
  <r>
    <s v="Новосибирск"/>
    <x v="12"/>
    <s v="Monster Bike 20x"/>
    <n v="4090"/>
    <s v="55524.44"/>
    <n v="2815778.5"/>
    <n v="2802338.69"/>
    <n v="138811.1"/>
    <n v="2802338.69"/>
    <n v="138811.1"/>
    <n v="2663527.59"/>
  </r>
  <r>
    <s v="Новосибирск"/>
    <x v="12"/>
    <s v="Ninebot Max G30"/>
    <n v="4177"/>
    <s v="57355.39"/>
    <n v="2940351.5"/>
    <n v="2926099.02"/>
    <n v="68826.467999999993"/>
    <n v="2926099.02"/>
    <n v="68826.467999999993"/>
    <n v="2857272.5520000001"/>
  </r>
  <r>
    <s v="Новосибирск"/>
    <x v="12"/>
    <s v="Xiaomi Mi Pro 2"/>
    <n v="4180"/>
    <s v="56808.85"/>
    <n v="2951971"/>
    <n v="2937497.24"/>
    <n v="51127.964999999997"/>
    <n v="2937497.24"/>
    <n v="51127.964999999997"/>
    <n v="2886369.2750000004"/>
  </r>
  <r>
    <s v="Санкт-Петербург"/>
    <x v="12"/>
    <s v="GoPro Hero 11"/>
    <n v="4136"/>
    <s v="56266.19"/>
    <n v="2862301"/>
    <n v="2847212.44"/>
    <n v="0"/>
    <n v="2847212.44"/>
    <n v="0"/>
    <n v="2847212.44"/>
  </r>
  <r>
    <s v="Санкт-Петербург"/>
    <x v="12"/>
    <s v="Monster Bike 20x"/>
    <n v="4125"/>
    <s v="55906.95"/>
    <n v="2852957.5"/>
    <n v="2838277.79"/>
    <n v="139767.375"/>
    <n v="2838277.79"/>
    <n v="139767.375"/>
    <n v="2698510.415"/>
  </r>
  <r>
    <s v="Санкт-Петербург"/>
    <x v="12"/>
    <s v="Ninebot Max G30"/>
    <n v="4149"/>
    <s v="56639.22"/>
    <n v="2883816"/>
    <n v="2869042.25"/>
    <n v="67967.063999999998"/>
    <n v="2869042.25"/>
    <n v="67967.063999999998"/>
    <n v="2801075.1860000002"/>
  </r>
  <r>
    <s v="Санкт-Петербург"/>
    <x v="12"/>
    <s v="Xiaomi Mi Pro 2"/>
    <n v="4077"/>
    <s v="55573.61"/>
    <n v="2820216"/>
    <n v="2806889.69"/>
    <n v="50016.249000000003"/>
    <n v="2806889.69"/>
    <n v="50016.249000000003"/>
    <n v="2756873.4410000001"/>
  </r>
  <r>
    <s v="Екатеринбург"/>
    <x v="13"/>
    <s v="GoPro Hero 11"/>
    <n v="3990"/>
    <s v="55165.08"/>
    <n v="2785306.5"/>
    <n v="2772368.25"/>
    <n v="0"/>
    <n v="2772368.25"/>
    <n v="0"/>
    <n v="2772368.25"/>
  </r>
  <r>
    <s v="Екатеринбург"/>
    <x v="13"/>
    <s v="Monster Bike 20x"/>
    <n v="3716"/>
    <s v="50069.20"/>
    <n v="2599806.5"/>
    <n v="2586169.5"/>
    <n v="125173"/>
    <n v="2586169.5"/>
    <n v="125173"/>
    <n v="2460996.5"/>
  </r>
  <r>
    <s v="Екатеринбург"/>
    <x v="13"/>
    <s v="Ninebot Max G30"/>
    <n v="3918"/>
    <s v="53587.89"/>
    <n v="2731014.5"/>
    <n v="2718013.21"/>
    <n v="64305.468000000001"/>
    <n v="2718013.21"/>
    <n v="64305.468000000001"/>
    <n v="2653707.7420000001"/>
  </r>
  <r>
    <s v="Екатеринбург"/>
    <x v="13"/>
    <s v="Xiaomi Mi Pro 2"/>
    <n v="3740"/>
    <s v="51654.78"/>
    <n v="2618716.5"/>
    <n v="2605689.65"/>
    <n v="46489.302000000003"/>
    <n v="2605689.65"/>
    <n v="46489.302000000003"/>
    <n v="2559200.3479999998"/>
  </r>
  <r>
    <s v="Казань"/>
    <x v="13"/>
    <s v="GoPro Hero 11"/>
    <n v="3813"/>
    <s v="52658.58"/>
    <n v="2677653"/>
    <n v="2665013.92"/>
    <n v="0"/>
    <n v="2665013.92"/>
    <n v="0"/>
    <n v="2665013.92"/>
  </r>
  <r>
    <s v="Казань"/>
    <x v="13"/>
    <s v="Monster Bike 20x"/>
    <n v="3921"/>
    <s v="53880.59"/>
    <n v="2743945"/>
    <n v="2731093.74"/>
    <n v="134701.47500000001"/>
    <n v="2731093.74"/>
    <n v="134701.47500000001"/>
    <n v="2596392.2650000001"/>
  </r>
  <r>
    <s v="Казань"/>
    <x v="13"/>
    <s v="Ninebot Max G30"/>
    <n v="3953"/>
    <s v="53367.99"/>
    <n v="2745908"/>
    <n v="2732835.2"/>
    <n v="64041.588000000003"/>
    <n v="2732835.2"/>
    <n v="64041.588000000003"/>
    <n v="2668793.6120000002"/>
  </r>
  <r>
    <s v="Казань"/>
    <x v="13"/>
    <s v="Xiaomi Mi Pro 2"/>
    <n v="3791"/>
    <s v="51116.55"/>
    <n v="2639626"/>
    <n v="2626025.06"/>
    <n v="46004.894999999997"/>
    <n v="2626025.06"/>
    <n v="46004.894999999997"/>
    <n v="2580020.165"/>
  </r>
  <r>
    <s v="Москва"/>
    <x v="13"/>
    <s v="GoPro Hero 11"/>
    <n v="3954"/>
    <s v="53542.54"/>
    <n v="2771879.5"/>
    <n v="2758411.99"/>
    <n v="0"/>
    <n v="2758411.99"/>
    <n v="0"/>
    <n v="2758411.99"/>
  </r>
  <r>
    <s v="Москва"/>
    <x v="13"/>
    <s v="Monster Bike 20x"/>
    <n v="3981"/>
    <s v="54596.61"/>
    <n v="2811680.5"/>
    <n v="2798003.54"/>
    <n v="136491.52499999999"/>
    <n v="2798003.54"/>
    <n v="136491.52499999999"/>
    <n v="2661512.0150000001"/>
  </r>
  <r>
    <s v="Москва"/>
    <x v="13"/>
    <s v="Ninebot Max G30"/>
    <n v="3960"/>
    <s v="54062.69"/>
    <n v="2808173"/>
    <n v="2795226.29"/>
    <n v="64875.228000000003"/>
    <n v="2795226.29"/>
    <n v="64875.228000000003"/>
    <n v="2730351.0619999999"/>
  </r>
  <r>
    <s v="Москва"/>
    <x v="13"/>
    <s v="Xiaomi Mi Pro 2"/>
    <n v="3873"/>
    <s v="52664.74"/>
    <n v="2680644.5"/>
    <n v="2668244.7999999998"/>
    <n v="47398.266000000003"/>
    <n v="2668244.7999999998"/>
    <n v="47398.266000000003"/>
    <n v="2620846.534"/>
  </r>
  <r>
    <s v="Новосибирск"/>
    <x v="13"/>
    <s v="GoPro Hero 11"/>
    <n v="3966"/>
    <s v="53907.99"/>
    <n v="2746904.5"/>
    <n v="2733528.88"/>
    <n v="0"/>
    <n v="2733528.88"/>
    <n v="0"/>
    <n v="2733528.88"/>
  </r>
  <r>
    <s v="Новосибирск"/>
    <x v="13"/>
    <s v="Monster Bike 20x"/>
    <n v="3857"/>
    <s v="52128.94"/>
    <n v="2669704"/>
    <n v="2656755.61"/>
    <n v="130322.35"/>
    <n v="2656755.61"/>
    <n v="130322.35"/>
    <n v="2526433.2599999998"/>
  </r>
  <r>
    <s v="Новосибирск"/>
    <x v="13"/>
    <s v="Ninebot Max G30"/>
    <n v="3865"/>
    <s v="52926.16"/>
    <n v="2715285.5"/>
    <n v="2701576.48"/>
    <n v="63511.392"/>
    <n v="2701576.48"/>
    <n v="63511.392"/>
    <n v="2638065.088"/>
  </r>
  <r>
    <s v="Новосибирск"/>
    <x v="13"/>
    <s v="Xiaomi Mi Pro 2"/>
    <n v="3730"/>
    <s v="50636.10"/>
    <n v="2604059"/>
    <n v="2591311.5699999998"/>
    <n v="45572.49"/>
    <n v="2591311.5699999998"/>
    <n v="45572.49"/>
    <n v="2545739.0799999996"/>
  </r>
  <r>
    <s v="Санкт-Петербург"/>
    <x v="13"/>
    <s v="GoPro Hero 11"/>
    <n v="3821"/>
    <s v="51617.86"/>
    <n v="2639726"/>
    <n v="2627648.0099999998"/>
    <n v="0"/>
    <n v="2627648.0099999998"/>
    <n v="0"/>
    <n v="2627648.0099999998"/>
  </r>
  <r>
    <s v="Санкт-Петербург"/>
    <x v="13"/>
    <s v="Monster Bike 20x"/>
    <n v="3686"/>
    <s v="50687.79"/>
    <n v="2579647.5"/>
    <n v="2566299.29"/>
    <n v="126719.47500000001"/>
    <n v="2566299.29"/>
    <n v="126719.47500000001"/>
    <n v="2439579.8149999999"/>
  </r>
  <r>
    <s v="Санкт-Петербург"/>
    <x v="13"/>
    <s v="Ninebot Max G30"/>
    <n v="3821"/>
    <s v="52047.82"/>
    <n v="2654460.5"/>
    <n v="2641145.0499999998"/>
    <n v="62457.383999999998"/>
    <n v="2641145.0499999998"/>
    <n v="62457.383999999998"/>
    <n v="2578687.6659999997"/>
  </r>
  <r>
    <s v="Санкт-Петербург"/>
    <x v="13"/>
    <s v="Xiaomi Mi Pro 2"/>
    <n v="3831"/>
    <s v="51803.42"/>
    <n v="2670652.5"/>
    <n v="2657521.9"/>
    <n v="46623.078000000001"/>
    <n v="2657521.9"/>
    <n v="46623.078000000001"/>
    <n v="2610898.8219999997"/>
  </r>
  <r>
    <s v="Екатеринбург"/>
    <x v="14"/>
    <s v="GoPro Hero 11"/>
    <n v="4562"/>
    <s v="62150.71"/>
    <n v="3172548"/>
    <n v="3156779.45"/>
    <n v="0"/>
    <n v="3156779.45"/>
    <n v="0"/>
    <n v="3156779.45"/>
  </r>
  <r>
    <s v="Екатеринбург"/>
    <x v="14"/>
    <s v="Monster Bike 20x"/>
    <n v="4354"/>
    <s v="59252.39"/>
    <n v="3011109.5"/>
    <n v="2996353.16"/>
    <n v="148130.97500000001"/>
    <n v="2996353.16"/>
    <n v="148130.97500000001"/>
    <n v="2848222.1850000001"/>
  </r>
  <r>
    <s v="Екатеринбург"/>
    <x v="14"/>
    <s v="Ninebot Max G30"/>
    <n v="4463"/>
    <s v="60837.63"/>
    <n v="3115938"/>
    <n v="3101651.47"/>
    <n v="73005.156000000003"/>
    <n v="3101651.47"/>
    <n v="73005.156000000003"/>
    <n v="3028646.3140000002"/>
  </r>
  <r>
    <s v="Екатеринбург"/>
    <x v="14"/>
    <s v="Xiaomi Mi Pro 2"/>
    <n v="4431"/>
    <s v="60643.85"/>
    <n v="3106688"/>
    <n v="3091957.95"/>
    <n v="54579.464999999997"/>
    <n v="3091957.95"/>
    <n v="54579.464999999997"/>
    <n v="3037378.4850000003"/>
  </r>
  <r>
    <s v="Казань"/>
    <x v="14"/>
    <s v="GoPro Hero 11"/>
    <n v="4506"/>
    <s v="61992.41"/>
    <n v="3148873"/>
    <n v="3134166.21"/>
    <n v="0"/>
    <n v="3134166.21"/>
    <n v="0"/>
    <n v="3134166.21"/>
  </r>
  <r>
    <s v="Казань"/>
    <x v="14"/>
    <s v="Monster Bike 20x"/>
    <n v="4487"/>
    <s v="60386.80"/>
    <n v="3117825.5"/>
    <n v="3102947.81"/>
    <n v="150967"/>
    <n v="3102947.81"/>
    <n v="150967"/>
    <n v="2951980.81"/>
  </r>
  <r>
    <s v="Казань"/>
    <x v="14"/>
    <s v="Ninebot Max G30"/>
    <n v="4416"/>
    <s v="59876.99"/>
    <n v="3050064"/>
    <n v="3034706.82"/>
    <n v="71852.388000000006"/>
    <n v="3034706.82"/>
    <n v="71852.388000000006"/>
    <n v="2962854.432"/>
  </r>
  <r>
    <s v="Казань"/>
    <x v="14"/>
    <s v="Xiaomi Mi Pro 2"/>
    <n v="4457"/>
    <s v="60404.75"/>
    <n v="3125050.5"/>
    <n v="3110516.1"/>
    <n v="54364.275000000001"/>
    <n v="3110516.1"/>
    <n v="54364.275000000001"/>
    <n v="3056151.8250000002"/>
  </r>
  <r>
    <s v="Москва"/>
    <x v="14"/>
    <s v="GoPro Hero 11"/>
    <n v="4370"/>
    <s v="59390.30"/>
    <n v="3026604"/>
    <n v="3011926.38"/>
    <n v="0"/>
    <n v="3011926.38"/>
    <n v="0"/>
    <n v="3011926.38"/>
  </r>
  <r>
    <s v="Москва"/>
    <x v="14"/>
    <s v="Monster Bike 20x"/>
    <n v="4438"/>
    <s v="60349.41"/>
    <n v="3094633"/>
    <n v="3080320.22"/>
    <n v="150873.52499999999"/>
    <n v="3080320.22"/>
    <n v="150873.52499999999"/>
    <n v="2929446.6950000003"/>
  </r>
  <r>
    <s v="Москва"/>
    <x v="14"/>
    <s v="Ninebot Max G30"/>
    <n v="4532"/>
    <s v="61771.11"/>
    <n v="3142839"/>
    <n v="3127331.25"/>
    <n v="74125.331999999995"/>
    <n v="3127331.25"/>
    <n v="74125.331999999995"/>
    <n v="3053205.9180000001"/>
  </r>
  <r>
    <s v="Москва"/>
    <x v="14"/>
    <s v="Xiaomi Mi Pro 2"/>
    <n v="4564"/>
    <s v="61765.94"/>
    <n v="3167667.5"/>
    <n v="3152778.48"/>
    <n v="55589.345999999998"/>
    <n v="3152778.48"/>
    <n v="55589.345999999998"/>
    <n v="3097189.1340000001"/>
  </r>
  <r>
    <s v="Новосибирск"/>
    <x v="14"/>
    <s v="GoPro Hero 11"/>
    <n v="4446"/>
    <s v="61672.62"/>
    <n v="3157159.5"/>
    <n v="3141421.54"/>
    <n v="0"/>
    <n v="3141421.54"/>
    <n v="0"/>
    <n v="3141421.54"/>
  </r>
  <r>
    <s v="Новосибирск"/>
    <x v="14"/>
    <s v="Monster Bike 20x"/>
    <n v="4407"/>
    <s v="59648.10"/>
    <n v="3082201"/>
    <n v="3067654.03"/>
    <n v="149120.25"/>
    <n v="3067654.03"/>
    <n v="149120.25"/>
    <n v="2918533.78"/>
  </r>
  <r>
    <s v="Новосибирск"/>
    <x v="14"/>
    <s v="Ninebot Max G30"/>
    <n v="4434"/>
    <s v="60387.04"/>
    <n v="3093691.5"/>
    <n v="3078730.56"/>
    <n v="72464.448000000004"/>
    <n v="3078730.56"/>
    <n v="72464.448000000004"/>
    <n v="3006266.1120000002"/>
  </r>
  <r>
    <s v="Новосибирск"/>
    <x v="14"/>
    <s v="Xiaomi Mi Pro 2"/>
    <n v="4378"/>
    <s v="58815.00"/>
    <n v="3031854.5"/>
    <n v="3016682.97"/>
    <n v="52933.5"/>
    <n v="3016682.97"/>
    <n v="52933.5"/>
    <n v="2963749.47"/>
  </r>
  <r>
    <s v="Санкт-Петербург"/>
    <x v="14"/>
    <s v="GoPro Hero 11"/>
    <n v="4412"/>
    <s v="59872.97"/>
    <n v="3076430.5"/>
    <n v="3062202.66"/>
    <n v="0"/>
    <n v="3062202.66"/>
    <n v="0"/>
    <n v="3062202.66"/>
  </r>
  <r>
    <s v="Санкт-Петербург"/>
    <x v="14"/>
    <s v="Monster Bike 20x"/>
    <n v="4333"/>
    <s v="58293.01"/>
    <n v="3012034"/>
    <n v="2996248.94"/>
    <n v="145732.52499999999"/>
    <n v="2996248.94"/>
    <n v="145732.52499999999"/>
    <n v="2850516.415"/>
  </r>
  <r>
    <s v="Санкт-Петербург"/>
    <x v="14"/>
    <s v="Ninebot Max G30"/>
    <n v="4459"/>
    <s v="59999.35"/>
    <n v="3096209"/>
    <n v="3082490.12"/>
    <n v="71999.22"/>
    <n v="3082490.12"/>
    <n v="71999.22"/>
    <n v="3010490.9"/>
  </r>
  <r>
    <s v="Санкт-Петербург"/>
    <x v="14"/>
    <s v="Xiaomi Mi Pro 2"/>
    <n v="4349"/>
    <s v="59296.17"/>
    <n v="3032164"/>
    <n v="3018175.16"/>
    <n v="53366.553"/>
    <n v="3018175.16"/>
    <n v="53366.553"/>
    <n v="2964808.6070000003"/>
  </r>
  <r>
    <s v="Екатеринбург"/>
    <x v="15"/>
    <s v="GoPro Hero 11"/>
    <n v="4219"/>
    <s v="57111.96"/>
    <n v="2921410.5"/>
    <n v="2907265.78"/>
    <n v="0"/>
    <n v="2907265.78"/>
    <n v="0"/>
    <n v="2907265.78"/>
  </r>
  <r>
    <s v="Екатеринбург"/>
    <x v="15"/>
    <s v="Monster Bike 20x"/>
    <n v="4158"/>
    <s v="57448.84"/>
    <n v="2925066"/>
    <n v="2910477.91"/>
    <n v="143622.1"/>
    <n v="2910477.91"/>
    <n v="143622.1"/>
    <n v="2766855.81"/>
  </r>
  <r>
    <s v="Екатеринбург"/>
    <x v="15"/>
    <s v="Ninebot Max G30"/>
    <n v="4245"/>
    <s v="56568.80"/>
    <n v="2961250"/>
    <n v="2947299.02"/>
    <n v="67882.559999999998"/>
    <n v="2947299.02"/>
    <n v="67882.559999999998"/>
    <n v="2879416.46"/>
  </r>
  <r>
    <s v="Екатеринбург"/>
    <x v="15"/>
    <s v="Xiaomi Mi Pro 2"/>
    <n v="4078"/>
    <s v="55908.91"/>
    <n v="2851734.5"/>
    <n v="2838281.79"/>
    <n v="50318.019"/>
    <n v="2838281.79"/>
    <n v="50318.019"/>
    <n v="2787963.7710000002"/>
  </r>
  <r>
    <s v="Казань"/>
    <x v="15"/>
    <s v="GoPro Hero 11"/>
    <n v="4231"/>
    <s v="57426.94"/>
    <n v="2948363.5"/>
    <n v="2933834.39"/>
    <n v="0"/>
    <n v="2933834.39"/>
    <n v="0"/>
    <n v="2933834.39"/>
  </r>
  <r>
    <s v="Казань"/>
    <x v="15"/>
    <s v="Monster Bike 20x"/>
    <n v="4131"/>
    <s v="56291.37"/>
    <n v="2907813"/>
    <n v="2893489.17"/>
    <n v="140728.42499999999"/>
    <n v="2893489.17"/>
    <n v="140728.42499999999"/>
    <n v="2752760.7450000001"/>
  </r>
  <r>
    <s v="Казань"/>
    <x v="15"/>
    <s v="Ninebot Max G30"/>
    <n v="4238"/>
    <s v="57079.43"/>
    <n v="2932098.5"/>
    <n v="2917795.25"/>
    <n v="68495.316000000006"/>
    <n v="2917795.25"/>
    <n v="68495.316000000006"/>
    <n v="2849299.9339999999"/>
  </r>
  <r>
    <s v="Казань"/>
    <x v="15"/>
    <s v="Xiaomi Mi Pro 2"/>
    <n v="4179"/>
    <s v="56581.47"/>
    <n v="2881672"/>
    <n v="2866709.68"/>
    <n v="50923.322999999997"/>
    <n v="2866709.68"/>
    <n v="50923.322999999997"/>
    <n v="2815786.3570000003"/>
  </r>
  <r>
    <s v="Москва"/>
    <x v="15"/>
    <s v="GoPro Hero 11"/>
    <n v="4366"/>
    <s v="59431.54"/>
    <n v="3022470"/>
    <n v="3007719.88"/>
    <n v="0"/>
    <n v="3007719.88"/>
    <n v="0"/>
    <n v="3007719.88"/>
  </r>
  <r>
    <s v="Москва"/>
    <x v="15"/>
    <s v="Monster Bike 20x"/>
    <n v="4289"/>
    <s v="57429.58"/>
    <n v="2932213.5"/>
    <n v="2916884.44"/>
    <n v="143573.95000000001"/>
    <n v="2916884.44"/>
    <n v="143573.95000000001"/>
    <n v="2773310.4899999998"/>
  </r>
  <r>
    <s v="Москва"/>
    <x v="15"/>
    <s v="Ninebot Max G30"/>
    <n v="4218"/>
    <s v="57091.87"/>
    <n v="2945565.5"/>
    <n v="2930875.33"/>
    <n v="68510.244000000006"/>
    <n v="2930875.33"/>
    <n v="68510.244000000006"/>
    <n v="2862365.0860000001"/>
  </r>
  <r>
    <s v="Москва"/>
    <x v="15"/>
    <s v="Xiaomi Mi Pro 2"/>
    <n v="4146"/>
    <s v="56447.51"/>
    <n v="2906706"/>
    <n v="2893412.51"/>
    <n v="50802.758999999998"/>
    <n v="2893412.51"/>
    <n v="50802.758999999998"/>
    <n v="2842609.7509999997"/>
  </r>
  <r>
    <s v="Новосибирск"/>
    <x v="15"/>
    <s v="GoPro Hero 11"/>
    <n v="4116"/>
    <s v="56274.68"/>
    <n v="2902354.5"/>
    <n v="2888646.66"/>
    <n v="0"/>
    <n v="2888646.66"/>
    <n v="0"/>
    <n v="2888646.66"/>
  </r>
  <r>
    <s v="Новосибирск"/>
    <x v="15"/>
    <s v="Monster Bike 20x"/>
    <n v="4064"/>
    <s v="55173.91"/>
    <n v="2817558.5"/>
    <n v="2803816.65"/>
    <n v="137934.77499999999"/>
    <n v="2803816.65"/>
    <n v="137934.77499999999"/>
    <n v="2665881.875"/>
  </r>
  <r>
    <s v="Новосибирск"/>
    <x v="15"/>
    <s v="Ninebot Max G30"/>
    <n v="4164"/>
    <s v="56695.96"/>
    <n v="2889524"/>
    <n v="2874772.94"/>
    <n v="68035.152000000002"/>
    <n v="2874772.94"/>
    <n v="68035.152000000002"/>
    <n v="2806737.7879999997"/>
  </r>
  <r>
    <s v="Новосибирск"/>
    <x v="15"/>
    <s v="Xiaomi Mi Pro 2"/>
    <n v="4074"/>
    <s v="54778.52"/>
    <n v="2835264"/>
    <n v="2821743.37"/>
    <n v="49300.667999999998"/>
    <n v="2821743.37"/>
    <n v="49300.667999999998"/>
    <n v="2772442.702"/>
  </r>
  <r>
    <s v="Санкт-Петербург"/>
    <x v="15"/>
    <s v="GoPro Hero 11"/>
    <n v="4304"/>
    <s v="58517.68"/>
    <n v="3000827.5"/>
    <n v="2985649.74"/>
    <n v="0"/>
    <n v="2985649.74"/>
    <n v="0"/>
    <n v="2985649.74"/>
  </r>
  <r>
    <s v="Санкт-Петербург"/>
    <x v="15"/>
    <s v="Monster Bike 20x"/>
    <n v="4132"/>
    <s v="56599.65"/>
    <n v="2872193"/>
    <n v="2858631.22"/>
    <n v="141499.125"/>
    <n v="2858631.22"/>
    <n v="141499.125"/>
    <n v="2717132.0950000002"/>
  </r>
  <r>
    <s v="Санкт-Петербург"/>
    <x v="15"/>
    <s v="Ninebot Max G30"/>
    <n v="4199"/>
    <s v="58052.69"/>
    <n v="2933307"/>
    <n v="2919785.01"/>
    <n v="69663.228000000003"/>
    <n v="2919785.01"/>
    <n v="69663.228000000003"/>
    <n v="2850121.7819999997"/>
  </r>
  <r>
    <s v="Санкт-Петербург"/>
    <x v="15"/>
    <s v="Xiaomi Mi Pro 2"/>
    <n v="4112"/>
    <s v="55368.18"/>
    <n v="2840000"/>
    <n v="2825671.41"/>
    <n v="49831.362000000001"/>
    <n v="2825671.41"/>
    <n v="49831.362000000001"/>
    <n v="2775840.048"/>
  </r>
  <r>
    <s v="Екатеринбург"/>
    <x v="16"/>
    <s v="GoPro Hero 11"/>
    <n v="4170"/>
    <s v="57226.82"/>
    <n v="2909916.5"/>
    <n v="2894953.78"/>
    <n v="0"/>
    <n v="2894953.78"/>
    <n v="0"/>
    <n v="2894953.78"/>
  </r>
  <r>
    <s v="Екатеринбург"/>
    <x v="16"/>
    <s v="Monster Bike 20x"/>
    <n v="4075"/>
    <s v="56040.18"/>
    <n v="2910426"/>
    <n v="2897359.1"/>
    <n v="140100.45000000001"/>
    <n v="2897359.1"/>
    <n v="140100.45000000001"/>
    <n v="2757258.65"/>
  </r>
  <r>
    <s v="Екатеринбург"/>
    <x v="16"/>
    <s v="Ninebot Max G30"/>
    <n v="4265"/>
    <s v="58491.07"/>
    <n v="2963078"/>
    <n v="2949130.41"/>
    <n v="70189.284"/>
    <n v="2949130.41"/>
    <n v="70189.284"/>
    <n v="2878941.1260000002"/>
  </r>
  <r>
    <s v="Екатеринбург"/>
    <x v="16"/>
    <s v="Xiaomi Mi Pro 2"/>
    <n v="4132"/>
    <s v="56143.47"/>
    <n v="2899984"/>
    <n v="2886308.3"/>
    <n v="50529.123"/>
    <n v="2886308.3"/>
    <n v="50529.123"/>
    <n v="2835779.1769999997"/>
  </r>
  <r>
    <s v="Казань"/>
    <x v="16"/>
    <s v="GoPro Hero 11"/>
    <n v="4077"/>
    <s v="55784.62"/>
    <n v="2846383.5"/>
    <n v="2832434.02"/>
    <n v="0"/>
    <n v="2832434.02"/>
    <n v="0"/>
    <n v="2832434.02"/>
  </r>
  <r>
    <s v="Казань"/>
    <x v="16"/>
    <s v="Monster Bike 20x"/>
    <n v="4231"/>
    <s v="57462.43"/>
    <n v="2947936"/>
    <n v="2935147.09"/>
    <n v="143656.07500000001"/>
    <n v="2935147.09"/>
    <n v="143656.07500000001"/>
    <n v="2791491.0149999997"/>
  </r>
  <r>
    <s v="Казань"/>
    <x v="16"/>
    <s v="Ninebot Max G30"/>
    <n v="4159"/>
    <s v="56579.17"/>
    <n v="2926293"/>
    <n v="2913186.85"/>
    <n v="67895.004000000001"/>
    <n v="2913186.85"/>
    <n v="67895.004000000001"/>
    <n v="2845291.8459999999"/>
  </r>
  <r>
    <s v="Казань"/>
    <x v="16"/>
    <s v="Xiaomi Mi Pro 2"/>
    <n v="4090"/>
    <s v="55848.78"/>
    <n v="2847782"/>
    <n v="2834181.8"/>
    <n v="50263.902000000002"/>
    <n v="2834181.8"/>
    <n v="50263.902000000002"/>
    <n v="2783917.898"/>
  </r>
  <r>
    <s v="Москва"/>
    <x v="16"/>
    <s v="GoPro Hero 11"/>
    <n v="4218"/>
    <s v="57061.97"/>
    <n v="2928654.5"/>
    <n v="2914098.17"/>
    <n v="0"/>
    <n v="2914098.17"/>
    <n v="0"/>
    <n v="2914098.17"/>
  </r>
  <r>
    <s v="Москва"/>
    <x v="16"/>
    <s v="Monster Bike 20x"/>
    <n v="4366"/>
    <s v="59263.82"/>
    <n v="3066888"/>
    <n v="3052445.76"/>
    <n v="148159.54999999999"/>
    <n v="3052445.76"/>
    <n v="148159.54999999999"/>
    <n v="2904286.21"/>
  </r>
  <r>
    <s v="Москва"/>
    <x v="16"/>
    <s v="Ninebot Max G30"/>
    <n v="4146"/>
    <s v="57019.93"/>
    <n v="2874662.5"/>
    <n v="2860964.79"/>
    <n v="68423.915999999997"/>
    <n v="2860964.79"/>
    <n v="68423.915999999997"/>
    <n v="2792540.8739999998"/>
  </r>
  <r>
    <s v="Москва"/>
    <x v="16"/>
    <s v="Xiaomi Mi Pro 2"/>
    <n v="4126"/>
    <s v="56324.03"/>
    <n v="2910307.5"/>
    <n v="2896490.33"/>
    <n v="50691.627"/>
    <n v="2896490.33"/>
    <n v="50691.627"/>
    <n v="2845798.7030000002"/>
  </r>
  <r>
    <s v="Новосибирск"/>
    <x v="16"/>
    <s v="GoPro Hero 11"/>
    <n v="4173"/>
    <s v="56909.59"/>
    <n v="2919986"/>
    <n v="2906468.74"/>
    <n v="0"/>
    <n v="2906468.74"/>
    <n v="0"/>
    <n v="2906468.74"/>
  </r>
  <r>
    <s v="Новосибирск"/>
    <x v="16"/>
    <s v="Monster Bike 20x"/>
    <n v="4094"/>
    <s v="55258.54"/>
    <n v="2840104"/>
    <n v="2826728.81"/>
    <n v="138146.35"/>
    <n v="2826728.81"/>
    <n v="138146.35"/>
    <n v="2688582.46"/>
  </r>
  <r>
    <s v="Новосибирск"/>
    <x v="16"/>
    <s v="Ninebot Max G30"/>
    <n v="4166"/>
    <s v="56580.86"/>
    <n v="2894904"/>
    <n v="2879974.16"/>
    <n v="67897.032000000007"/>
    <n v="2879974.16"/>
    <n v="67897.032000000007"/>
    <n v="2812077.128"/>
  </r>
  <r>
    <s v="Новосибирск"/>
    <x v="16"/>
    <s v="Xiaomi Mi Pro 2"/>
    <n v="4099"/>
    <s v="55078.57"/>
    <n v="2847186"/>
    <n v="2834379.63"/>
    <n v="49570.713000000003"/>
    <n v="2834379.63"/>
    <n v="49570.713000000003"/>
    <n v="2784808.9169999999"/>
  </r>
  <r>
    <s v="Санкт-Петербург"/>
    <x v="16"/>
    <s v="GoPro Hero 11"/>
    <n v="4184"/>
    <s v="57322.34"/>
    <n v="2890813"/>
    <n v="2877216.3"/>
    <n v="0"/>
    <n v="2877216.3"/>
    <n v="0"/>
    <n v="2877216.3"/>
  </r>
  <r>
    <s v="Санкт-Петербург"/>
    <x v="16"/>
    <s v="Monster Bike 20x"/>
    <n v="4195"/>
    <s v="58025.48"/>
    <n v="2955650"/>
    <n v="2941499.35"/>
    <n v="145063.70000000001"/>
    <n v="2941499.35"/>
    <n v="145063.70000000001"/>
    <n v="2796435.65"/>
  </r>
  <r>
    <s v="Санкт-Петербург"/>
    <x v="16"/>
    <s v="Ninebot Max G30"/>
    <n v="4217"/>
    <s v="58391.25"/>
    <n v="2952897.5"/>
    <n v="2939907.01"/>
    <n v="70069.5"/>
    <n v="2939907.01"/>
    <n v="70069.5"/>
    <n v="2869837.51"/>
  </r>
  <r>
    <s v="Санкт-Петербург"/>
    <x v="16"/>
    <s v="Xiaomi Mi Pro 2"/>
    <n v="4113"/>
    <s v="57216.02"/>
    <n v="2877727.5"/>
    <n v="2863930.05"/>
    <n v="51494.417999999998"/>
    <n v="2863930.05"/>
    <n v="51494.417999999998"/>
    <n v="2812435.6319999998"/>
  </r>
  <r>
    <s v="Екатеринбург"/>
    <x v="17"/>
    <s v="GoPro Hero 11"/>
    <n v="4158"/>
    <s v="57080.49"/>
    <n v="2894490"/>
    <n v="2880219.26"/>
    <n v="0"/>
    <n v="2880219.26"/>
    <n v="0"/>
    <n v="2880219.26"/>
  </r>
  <r>
    <s v="Екатеринбург"/>
    <x v="17"/>
    <s v="Monster Bike 20x"/>
    <n v="4177"/>
    <s v="57132.58"/>
    <n v="2893263.5"/>
    <n v="2879927.35"/>
    <n v="142831.45000000001"/>
    <n v="2879927.35"/>
    <n v="142831.45000000001"/>
    <n v="2737095.9"/>
  </r>
  <r>
    <s v="Екатеринбург"/>
    <x v="17"/>
    <s v="Ninebot Max G30"/>
    <n v="4292"/>
    <s v="59377.57"/>
    <n v="3015315"/>
    <n v="3000637.73"/>
    <n v="71253.084000000003"/>
    <n v="3000637.73"/>
    <n v="71253.084000000003"/>
    <n v="2929384.6460000002"/>
  </r>
  <r>
    <s v="Екатеринбург"/>
    <x v="17"/>
    <s v="Xiaomi Mi Pro 2"/>
    <n v="4037"/>
    <s v="56381.87"/>
    <n v="2842654"/>
    <n v="2829078.17"/>
    <n v="50743.682999999997"/>
    <n v="2829078.17"/>
    <n v="50743.682999999997"/>
    <n v="2778334.4869999997"/>
  </r>
  <r>
    <s v="Казань"/>
    <x v="17"/>
    <s v="GoPro Hero 11"/>
    <n v="4283"/>
    <s v="58488.85"/>
    <n v="2990681"/>
    <n v="2975897.19"/>
    <n v="0"/>
    <n v="2975897.19"/>
    <n v="0"/>
    <n v="2975897.19"/>
  </r>
  <r>
    <s v="Казань"/>
    <x v="17"/>
    <s v="Monster Bike 20x"/>
    <n v="4262"/>
    <s v="58294.90"/>
    <n v="2960768"/>
    <n v="2946843.78"/>
    <n v="145737.25"/>
    <n v="2946843.78"/>
    <n v="145737.25"/>
    <n v="2801106.53"/>
  </r>
  <r>
    <s v="Казань"/>
    <x v="17"/>
    <s v="Ninebot Max G30"/>
    <n v="4275"/>
    <s v="59141.37"/>
    <n v="3021407.5"/>
    <n v="3006033.58"/>
    <n v="70969.644"/>
    <n v="3006033.58"/>
    <n v="70969.644"/>
    <n v="2935063.9360000002"/>
  </r>
  <r>
    <s v="Казань"/>
    <x v="17"/>
    <s v="Xiaomi Mi Pro 2"/>
    <n v="4172"/>
    <s v="57069.85"/>
    <n v="2889053"/>
    <n v="2875702.94"/>
    <n v="51362.864999999998"/>
    <n v="2875702.94"/>
    <n v="51362.864999999998"/>
    <n v="2824340.0749999997"/>
  </r>
  <r>
    <s v="Москва"/>
    <x v="17"/>
    <s v="GoPro Hero 11"/>
    <n v="4236"/>
    <s v="57607.21"/>
    <n v="2929682"/>
    <n v="2914879.31"/>
    <n v="0"/>
    <n v="2914879.31"/>
    <n v="0"/>
    <n v="2914879.31"/>
  </r>
  <r>
    <s v="Москва"/>
    <x v="17"/>
    <s v="Monster Bike 20x"/>
    <n v="4227"/>
    <s v="57880.93"/>
    <n v="2962932"/>
    <n v="2948481.41"/>
    <n v="144702.32500000001"/>
    <n v="2948481.41"/>
    <n v="144702.32500000001"/>
    <n v="2803779.085"/>
  </r>
  <r>
    <s v="Москва"/>
    <x v="17"/>
    <s v="Ninebot Max G30"/>
    <n v="4190"/>
    <s v="57158.05"/>
    <n v="2908976.5"/>
    <n v="2895044.04"/>
    <n v="68589.66"/>
    <n v="2895044.04"/>
    <n v="68589.66"/>
    <n v="2826454.38"/>
  </r>
  <r>
    <s v="Москва"/>
    <x v="17"/>
    <s v="Xiaomi Mi Pro 2"/>
    <n v="4181"/>
    <s v="57542.50"/>
    <n v="2939138.5"/>
    <n v="2925378.98"/>
    <n v="51788.25"/>
    <n v="2925378.98"/>
    <n v="51788.25"/>
    <n v="2873590.73"/>
  </r>
  <r>
    <s v="Новосибирск"/>
    <x v="17"/>
    <s v="GoPro Hero 11"/>
    <n v="4130"/>
    <s v="56492.32"/>
    <n v="2905124"/>
    <n v="2891915.26"/>
    <n v="0"/>
    <n v="2891915.26"/>
    <n v="0"/>
    <n v="2891915.26"/>
  </r>
  <r>
    <s v="Новосибирск"/>
    <x v="17"/>
    <s v="Monster Bike 20x"/>
    <n v="4038"/>
    <s v="55872.45"/>
    <n v="2826680"/>
    <n v="2811697.63"/>
    <n v="139681.125"/>
    <n v="2811697.63"/>
    <n v="139681.125"/>
    <n v="2672016.5049999999"/>
  </r>
  <r>
    <s v="Новосибирск"/>
    <x v="17"/>
    <s v="Ninebot Max G30"/>
    <n v="4289"/>
    <s v="58094.29"/>
    <n v="2980180.5"/>
    <n v="2965715.21"/>
    <n v="69713.148000000001"/>
    <n v="2965715.21"/>
    <n v="69713.148000000001"/>
    <n v="2896002.0619999999"/>
  </r>
  <r>
    <s v="Новосибирск"/>
    <x v="17"/>
    <s v="Xiaomi Mi Pro 2"/>
    <n v="4055"/>
    <s v="54502.58"/>
    <n v="2846948"/>
    <n v="2833156.5"/>
    <n v="49052.322"/>
    <n v="2833156.5"/>
    <n v="49052.322"/>
    <n v="2784104.1779999998"/>
  </r>
  <r>
    <s v="Санкт-Петербург"/>
    <x v="17"/>
    <s v="GoPro Hero 11"/>
    <n v="4138"/>
    <s v="57336.71"/>
    <n v="2915103.5"/>
    <n v="2901557.42"/>
    <n v="0"/>
    <n v="2901557.42"/>
    <n v="0"/>
    <n v="2901557.42"/>
  </r>
  <r>
    <s v="Санкт-Петербург"/>
    <x v="17"/>
    <s v="Monster Bike 20x"/>
    <n v="4175"/>
    <s v="57735.37"/>
    <n v="2935102.5"/>
    <n v="2919740.48"/>
    <n v="144338.42499999999"/>
    <n v="2919740.48"/>
    <n v="144338.42499999999"/>
    <n v="2775402.0550000002"/>
  </r>
  <r>
    <s v="Санкт-Петербург"/>
    <x v="17"/>
    <s v="Ninebot Max G30"/>
    <n v="4262"/>
    <s v="57821.72"/>
    <n v="2944061.5"/>
    <n v="2929512.47"/>
    <n v="69386.063999999998"/>
    <n v="2929512.47"/>
    <n v="69386.063999999998"/>
    <n v="2860126.4060000004"/>
  </r>
  <r>
    <s v="Санкт-Петербург"/>
    <x v="17"/>
    <s v="Xiaomi Mi Pro 2"/>
    <n v="4036"/>
    <s v="55391.58"/>
    <n v="2817357"/>
    <n v="2804084.96"/>
    <n v="49852.421999999999"/>
    <n v="2804084.96"/>
    <n v="49852.421999999999"/>
    <n v="2754232.5380000002"/>
  </r>
  <r>
    <s v="Екатеринбург"/>
    <x v="18"/>
    <s v="GoPro Hero 11"/>
    <n v="4294"/>
    <s v="58758.73"/>
    <n v="2999154.5"/>
    <n v="2984174.93"/>
    <n v="0"/>
    <n v="2984174.93"/>
    <n v="0"/>
    <n v="2984174.93"/>
  </r>
  <r>
    <s v="Екатеринбург"/>
    <x v="18"/>
    <s v="Monster Bike 20x"/>
    <n v="4159"/>
    <s v="56218.08"/>
    <n v="2904464.5"/>
    <n v="2890218.78"/>
    <n v="140545.20000000001"/>
    <n v="2890218.78"/>
    <n v="140545.20000000001"/>
    <n v="2749673.5799999996"/>
  </r>
  <r>
    <s v="Екатеринбург"/>
    <x v="18"/>
    <s v="Ninebot Max G30"/>
    <n v="4176"/>
    <s v="58347.58"/>
    <n v="2938515"/>
    <n v="2924286.26"/>
    <n v="70017.096000000005"/>
    <n v="2924286.26"/>
    <n v="70017.096000000005"/>
    <n v="2854269.1639999999"/>
  </r>
  <r>
    <s v="Екатеринбург"/>
    <x v="18"/>
    <s v="Xiaomi Mi Pro 2"/>
    <n v="4021"/>
    <s v="54747.76"/>
    <n v="2813442"/>
    <n v="2800013.58"/>
    <n v="49272.983999999997"/>
    <n v="2800013.58"/>
    <n v="49272.983999999997"/>
    <n v="2750740.5959999999"/>
  </r>
  <r>
    <s v="Казань"/>
    <x v="18"/>
    <s v="GoPro Hero 11"/>
    <n v="4122"/>
    <s v="55690.14"/>
    <n v="2840894.5"/>
    <n v="2827340.17"/>
    <n v="0"/>
    <n v="2827340.17"/>
    <n v="0"/>
    <n v="2827340.17"/>
  </r>
  <r>
    <s v="Казань"/>
    <x v="18"/>
    <s v="Monster Bike 20x"/>
    <n v="4170"/>
    <s v="56938.88"/>
    <n v="2917191"/>
    <n v="2903059.5"/>
    <n v="142347.20000000001"/>
    <n v="2903059.5"/>
    <n v="142347.20000000001"/>
    <n v="2760712.3"/>
  </r>
  <r>
    <s v="Казань"/>
    <x v="18"/>
    <s v="Ninebot Max G30"/>
    <n v="4232"/>
    <s v="57591.81"/>
    <n v="2963478"/>
    <n v="2950292.57"/>
    <n v="69110.172000000006"/>
    <n v="2950292.57"/>
    <n v="69110.172000000006"/>
    <n v="2881182.398"/>
  </r>
  <r>
    <s v="Казань"/>
    <x v="18"/>
    <s v="Xiaomi Mi Pro 2"/>
    <n v="4069"/>
    <s v="55311.41"/>
    <n v="2841124.5"/>
    <n v="2828185.9"/>
    <n v="49780.269"/>
    <n v="2828185.9"/>
    <n v="49780.269"/>
    <n v="2778405.6310000001"/>
  </r>
  <r>
    <s v="Москва"/>
    <x v="18"/>
    <s v="GoPro Hero 11"/>
    <n v="4239"/>
    <s v="58131.85"/>
    <n v="2988795.5"/>
    <n v="2975147.94"/>
    <n v="0"/>
    <n v="2975147.94"/>
    <n v="0"/>
    <n v="2975147.94"/>
  </r>
  <r>
    <s v="Москва"/>
    <x v="18"/>
    <s v="Monster Bike 20x"/>
    <n v="4208"/>
    <s v="57516.54"/>
    <n v="2936424.5"/>
    <n v="2923345.24"/>
    <n v="143791.35"/>
    <n v="2923345.24"/>
    <n v="143791.35"/>
    <n v="2779553.89"/>
  </r>
  <r>
    <s v="Москва"/>
    <x v="18"/>
    <s v="Ninebot Max G30"/>
    <n v="4254"/>
    <s v="58528.25"/>
    <n v="2988559"/>
    <n v="2974389.48"/>
    <n v="70233.899999999994"/>
    <n v="2974389.48"/>
    <n v="70233.899999999994"/>
    <n v="2904155.58"/>
  </r>
  <r>
    <s v="Москва"/>
    <x v="18"/>
    <s v="Xiaomi Mi Pro 2"/>
    <n v="4280"/>
    <s v="57673.59"/>
    <n v="2960688"/>
    <n v="2945968.28"/>
    <n v="51906.231"/>
    <n v="2945968.28"/>
    <n v="51906.231"/>
    <n v="2894062.0489999996"/>
  </r>
  <r>
    <s v="Новосибирск"/>
    <x v="18"/>
    <s v="GoPro Hero 11"/>
    <n v="4099"/>
    <s v="56855.93"/>
    <n v="2871760"/>
    <n v="2858978.35"/>
    <n v="0"/>
    <n v="2858978.35"/>
    <n v="0"/>
    <n v="2858978.35"/>
  </r>
  <r>
    <s v="Новосибирск"/>
    <x v="18"/>
    <s v="Monster Bike 20x"/>
    <n v="4057"/>
    <s v="54599.53"/>
    <n v="2828136"/>
    <n v="2814463.96"/>
    <n v="136498.82500000001"/>
    <n v="2814463.96"/>
    <n v="136498.82500000001"/>
    <n v="2677965.1349999998"/>
  </r>
  <r>
    <s v="Новосибирск"/>
    <x v="18"/>
    <s v="Ninebot Max G30"/>
    <n v="4193"/>
    <s v="56590.28"/>
    <n v="2927546"/>
    <n v="2914172.31"/>
    <n v="67908.335999999996"/>
    <n v="2914172.31"/>
    <n v="67908.335999999996"/>
    <n v="2846263.9739999999"/>
  </r>
  <r>
    <s v="Новосибирск"/>
    <x v="18"/>
    <s v="Xiaomi Mi Pro 2"/>
    <n v="4091"/>
    <s v="55780.66"/>
    <n v="2852746.5"/>
    <n v="2839406.04"/>
    <n v="50202.593999999997"/>
    <n v="2839406.04"/>
    <n v="50202.593999999997"/>
    <n v="2789203.446"/>
  </r>
  <r>
    <s v="Санкт-Петербург"/>
    <x v="18"/>
    <s v="GoPro Hero 11"/>
    <n v="4142"/>
    <s v="55946.62"/>
    <n v="2867172.5"/>
    <n v="2853790.69"/>
    <n v="0"/>
    <n v="2853790.69"/>
    <n v="0"/>
    <n v="2853790.69"/>
  </r>
  <r>
    <s v="Санкт-Петербург"/>
    <x v="18"/>
    <s v="Monster Bike 20x"/>
    <n v="4095"/>
    <s v="55266.27"/>
    <n v="2817515.5"/>
    <n v="2804931.19"/>
    <n v="138165.67499999999"/>
    <n v="2804931.19"/>
    <n v="138165.67499999999"/>
    <n v="2666765.5150000001"/>
  </r>
  <r>
    <s v="Санкт-Петербург"/>
    <x v="18"/>
    <s v="Ninebot Max G30"/>
    <n v="4085"/>
    <s v="56539.66"/>
    <n v="2905224.5"/>
    <n v="2890593.13"/>
    <n v="67847.592000000004"/>
    <n v="2890593.13"/>
    <n v="67847.592000000004"/>
    <n v="2822745.5379999997"/>
  </r>
  <r>
    <s v="Санкт-Петербург"/>
    <x v="18"/>
    <s v="Xiaomi Mi Pro 2"/>
    <n v="4090"/>
    <s v="55894.01"/>
    <n v="2877679"/>
    <n v="2864636.94"/>
    <n v="50304.608999999997"/>
    <n v="2864636.94"/>
    <n v="50304.608999999997"/>
    <n v="2814332.3309999998"/>
  </r>
  <r>
    <s v="Екатеринбург"/>
    <x v="19"/>
    <s v="GoPro Hero 11"/>
    <n v="4246"/>
    <s v="57919.60"/>
    <n v="2957560.5"/>
    <n v="2942322.87"/>
    <n v="0"/>
    <n v="2942322.87"/>
    <n v="0"/>
    <n v="2942322.87"/>
  </r>
  <r>
    <s v="Екатеринбург"/>
    <x v="19"/>
    <s v="Monster Bike 20x"/>
    <n v="4189"/>
    <s v="57230.56"/>
    <n v="2916970.5"/>
    <n v="2903419.27"/>
    <n v="143076.4"/>
    <n v="2903419.27"/>
    <n v="143076.4"/>
    <n v="2760342.87"/>
  </r>
  <r>
    <s v="Екатеринбург"/>
    <x v="19"/>
    <s v="Ninebot Max G30"/>
    <n v="4242"/>
    <s v="57987.24"/>
    <n v="2979168"/>
    <n v="2964400.75"/>
    <n v="69584.687999999995"/>
    <n v="2964400.75"/>
    <n v="69584.687999999995"/>
    <n v="2894816.0619999999"/>
  </r>
  <r>
    <s v="Екатеринбург"/>
    <x v="19"/>
    <s v="Xiaomi Mi Pro 2"/>
    <n v="4058"/>
    <s v="55597.06"/>
    <n v="2792665.5"/>
    <n v="2778391.31"/>
    <n v="50037.353999999999"/>
    <n v="2778391.31"/>
    <n v="50037.353999999999"/>
    <n v="2728353.9560000002"/>
  </r>
  <r>
    <s v="Казань"/>
    <x v="19"/>
    <s v="GoPro Hero 11"/>
    <n v="4131"/>
    <s v="57006.76"/>
    <n v="2919965"/>
    <n v="2906191.66"/>
    <n v="0"/>
    <n v="2906191.66"/>
    <n v="0"/>
    <n v="2906191.66"/>
  </r>
  <r>
    <s v="Казань"/>
    <x v="19"/>
    <s v="Monster Bike 20x"/>
    <n v="4244"/>
    <s v="58560.50"/>
    <n v="2989415"/>
    <n v="2975218.45"/>
    <n v="146401.25"/>
    <n v="2975218.45"/>
    <n v="146401.25"/>
    <n v="2828817.2"/>
  </r>
  <r>
    <s v="Казань"/>
    <x v="19"/>
    <s v="Ninebot Max G30"/>
    <n v="4182"/>
    <s v="56945.58"/>
    <n v="2922270.5"/>
    <n v="2908029.87"/>
    <n v="68334.695999999996"/>
    <n v="2908029.87"/>
    <n v="68334.695999999996"/>
    <n v="2839695.1740000001"/>
  </r>
  <r>
    <s v="Казань"/>
    <x v="19"/>
    <s v="Xiaomi Mi Pro 2"/>
    <n v="4209"/>
    <s v="57824.96"/>
    <n v="2939668.5"/>
    <n v="2925610.86"/>
    <n v="52042.464"/>
    <n v="2925610.86"/>
    <n v="52042.464"/>
    <n v="2873568.3959999997"/>
  </r>
  <r>
    <s v="Москва"/>
    <x v="19"/>
    <s v="GoPro Hero 11"/>
    <n v="4265"/>
    <s v="57451.41"/>
    <n v="2931297"/>
    <n v="2917544.38"/>
    <n v="0"/>
    <n v="2917544.38"/>
    <n v="0"/>
    <n v="2917544.38"/>
  </r>
  <r>
    <s v="Москва"/>
    <x v="19"/>
    <s v="Monster Bike 20x"/>
    <n v="4260"/>
    <s v="58249.52"/>
    <n v="2968455"/>
    <n v="2954453.96"/>
    <n v="145623.79999999999"/>
    <n v="2954453.96"/>
    <n v="145623.79999999999"/>
    <n v="2808830.16"/>
  </r>
  <r>
    <s v="Москва"/>
    <x v="19"/>
    <s v="Ninebot Max G30"/>
    <n v="4303"/>
    <s v="59791.73"/>
    <n v="2994878"/>
    <n v="2980122.81"/>
    <n v="71750.076000000001"/>
    <n v="2980122.81"/>
    <n v="71750.076000000001"/>
    <n v="2908372.7340000002"/>
  </r>
  <r>
    <s v="Москва"/>
    <x v="19"/>
    <s v="Xiaomi Mi Pro 2"/>
    <n v="4114"/>
    <s v="55334.34"/>
    <n v="2848462.5"/>
    <n v="2834056.94"/>
    <n v="49800.906000000003"/>
    <n v="2834056.94"/>
    <n v="49800.906000000003"/>
    <n v="2784256.034"/>
  </r>
  <r>
    <s v="Новосибирск"/>
    <x v="19"/>
    <s v="GoPro Hero 11"/>
    <n v="4061"/>
    <s v="55247.88"/>
    <n v="2837593"/>
    <n v="2822860.72"/>
    <n v="0"/>
    <n v="2822860.72"/>
    <n v="0"/>
    <n v="2822860.72"/>
  </r>
  <r>
    <s v="Новосибирск"/>
    <x v="19"/>
    <s v="Monster Bike 20x"/>
    <n v="4047"/>
    <s v="55397.72"/>
    <n v="2802630"/>
    <n v="2788671.87"/>
    <n v="138494.29999999999"/>
    <n v="2788671.87"/>
    <n v="138494.29999999999"/>
    <n v="2650177.5700000003"/>
  </r>
  <r>
    <s v="Новосибирск"/>
    <x v="19"/>
    <s v="Ninebot Max G30"/>
    <n v="4214"/>
    <s v="57488.24"/>
    <n v="2937768.5"/>
    <n v="2923632.52"/>
    <n v="68985.888000000006"/>
    <n v="2923632.52"/>
    <n v="68985.888000000006"/>
    <n v="2854646.6320000002"/>
  </r>
  <r>
    <s v="Новосибирск"/>
    <x v="19"/>
    <s v="Xiaomi Mi Pro 2"/>
    <n v="3976"/>
    <s v="53802.36"/>
    <n v="2781598.5"/>
    <n v="2768128.32"/>
    <n v="48422.124000000003"/>
    <n v="2768128.32"/>
    <n v="48422.124000000003"/>
    <n v="2719706.196"/>
  </r>
  <r>
    <s v="Санкт-Петербург"/>
    <x v="19"/>
    <s v="GoPro Hero 11"/>
    <n v="4258"/>
    <s v="57333.19"/>
    <n v="2949474.5"/>
    <n v="2934589.24"/>
    <n v="0"/>
    <n v="2934589.24"/>
    <n v="0"/>
    <n v="2934589.24"/>
  </r>
  <r>
    <s v="Санкт-Петербург"/>
    <x v="19"/>
    <s v="Monster Bike 20x"/>
    <n v="4130"/>
    <s v="56016.87"/>
    <n v="2874025"/>
    <n v="2859543.22"/>
    <n v="140042.17499999999"/>
    <n v="2859543.22"/>
    <n v="140042.17499999999"/>
    <n v="2719501.0450000004"/>
  </r>
  <r>
    <s v="Санкт-Петербург"/>
    <x v="19"/>
    <s v="Ninebot Max G30"/>
    <n v="4285"/>
    <s v="57865.77"/>
    <n v="2992363.5"/>
    <n v="2978456.65"/>
    <n v="69438.923999999999"/>
    <n v="2978456.65"/>
    <n v="69438.923999999999"/>
    <n v="2909017.7259999998"/>
  </r>
  <r>
    <s v="Санкт-Петербург"/>
    <x v="19"/>
    <s v="Xiaomi Mi Pro 2"/>
    <n v="4042"/>
    <s v="54905.63"/>
    <n v="2800979.5"/>
    <n v="2786594.51"/>
    <n v="49415.067000000003"/>
    <n v="2786594.51"/>
    <n v="49415.067000000003"/>
    <n v="2737179.443"/>
  </r>
  <r>
    <s v="Екатеринбург"/>
    <x v="20"/>
    <s v="GoPro Hero 11"/>
    <n v="4254"/>
    <s v="57333.42"/>
    <n v="2944704"/>
    <n v="2930009.07"/>
    <n v="0"/>
    <n v="2930009.07"/>
    <n v="0"/>
    <n v="2930009.07"/>
  </r>
  <r>
    <s v="Екатеринбург"/>
    <x v="20"/>
    <s v="Monster Bike 20x"/>
    <n v="4182"/>
    <s v="56658.80"/>
    <n v="2897129.5"/>
    <n v="2882372.91"/>
    <n v="141647"/>
    <n v="2882372.91"/>
    <n v="141647"/>
    <n v="2740725.91"/>
  </r>
  <r>
    <s v="Екатеринбург"/>
    <x v="20"/>
    <s v="Ninebot Max G30"/>
    <n v="4144"/>
    <s v="55762.94"/>
    <n v="2868300.5"/>
    <n v="2854238.99"/>
    <n v="66915.528000000006"/>
    <n v="2854238.99"/>
    <n v="66915.528000000006"/>
    <n v="2787323.4620000003"/>
  </r>
  <r>
    <s v="Екатеринбург"/>
    <x v="20"/>
    <s v="Xiaomi Mi Pro 2"/>
    <n v="4219"/>
    <s v="57612.34"/>
    <n v="2927153.5"/>
    <n v="2913378.32"/>
    <n v="51851.106"/>
    <n v="2913378.32"/>
    <n v="51851.106"/>
    <n v="2861527.2139999997"/>
  </r>
  <r>
    <s v="Казань"/>
    <x v="20"/>
    <s v="GoPro Hero 11"/>
    <n v="4164"/>
    <s v="56390.43"/>
    <n v="2906823"/>
    <n v="2892847.12"/>
    <n v="0"/>
    <n v="2892847.12"/>
    <n v="0"/>
    <n v="2892847.12"/>
  </r>
  <r>
    <s v="Казань"/>
    <x v="20"/>
    <s v="Monster Bike 20x"/>
    <n v="4162"/>
    <s v="57621.19"/>
    <n v="2897526.5"/>
    <n v="2885188.75"/>
    <n v="144052.97500000001"/>
    <n v="2885188.75"/>
    <n v="144052.97500000001"/>
    <n v="2741135.7749999999"/>
  </r>
  <r>
    <s v="Казань"/>
    <x v="20"/>
    <s v="Ninebot Max G30"/>
    <n v="4221"/>
    <s v="57510.49"/>
    <n v="2966332"/>
    <n v="2952249.57"/>
    <n v="69012.588000000003"/>
    <n v="2952249.57"/>
    <n v="69012.588000000003"/>
    <n v="2883236.9819999998"/>
  </r>
  <r>
    <s v="Казань"/>
    <x v="20"/>
    <s v="Xiaomi Mi Pro 2"/>
    <n v="4084"/>
    <s v="55772.14"/>
    <n v="2876313"/>
    <n v="2862966.44"/>
    <n v="50194.925999999999"/>
    <n v="2862966.44"/>
    <n v="50194.925999999999"/>
    <n v="2812771.514"/>
  </r>
  <r>
    <s v="Москва"/>
    <x v="20"/>
    <s v="GoPro Hero 11"/>
    <n v="4296"/>
    <s v="58525.01"/>
    <n v="3026366.5"/>
    <n v="3012040.93"/>
    <n v="0"/>
    <n v="3012040.93"/>
    <n v="0"/>
    <n v="3012040.93"/>
  </r>
  <r>
    <s v="Москва"/>
    <x v="20"/>
    <s v="Monster Bike 20x"/>
    <n v="4271"/>
    <s v="57783.53"/>
    <n v="2964311"/>
    <n v="2950267.66"/>
    <n v="144458.82500000001"/>
    <n v="2950267.66"/>
    <n v="144458.82500000001"/>
    <n v="2805808.835"/>
  </r>
  <r>
    <s v="Москва"/>
    <x v="20"/>
    <s v="Ninebot Max G30"/>
    <n v="4295"/>
    <s v="58514.99"/>
    <n v="2984202.5"/>
    <n v="2969002.28"/>
    <n v="70217.987999999998"/>
    <n v="2969002.28"/>
    <n v="70217.987999999998"/>
    <n v="2898784.2919999999"/>
  </r>
  <r>
    <s v="Москва"/>
    <x v="20"/>
    <s v="Xiaomi Mi Pro 2"/>
    <n v="4194"/>
    <s v="57564.81"/>
    <n v="2902304.5"/>
    <n v="2887545.86"/>
    <n v="51808.328999999998"/>
    <n v="2887545.86"/>
    <n v="51808.328999999998"/>
    <n v="2835737.531"/>
  </r>
  <r>
    <s v="Новосибирск"/>
    <x v="20"/>
    <s v="GoPro Hero 11"/>
    <n v="4168"/>
    <s v="57108.22"/>
    <n v="2947684"/>
    <n v="2933240.17"/>
    <n v="0"/>
    <n v="2933240.17"/>
    <n v="0"/>
    <n v="2933240.17"/>
  </r>
  <r>
    <s v="Новосибирск"/>
    <x v="20"/>
    <s v="Monster Bike 20x"/>
    <n v="4127"/>
    <s v="56050.32"/>
    <n v="2861402"/>
    <n v="2847890.52"/>
    <n v="140125.79999999999"/>
    <n v="2847890.52"/>
    <n v="140125.79999999999"/>
    <n v="2707764.72"/>
  </r>
  <r>
    <s v="Новосибирск"/>
    <x v="20"/>
    <s v="Ninebot Max G30"/>
    <n v="4189"/>
    <s v="56976.11"/>
    <n v="2926080"/>
    <n v="2911542.89"/>
    <n v="68371.331999999995"/>
    <n v="2911542.89"/>
    <n v="68371.331999999995"/>
    <n v="2843171.5580000002"/>
  </r>
  <r>
    <s v="Новосибирск"/>
    <x v="20"/>
    <s v="Xiaomi Mi Pro 2"/>
    <n v="4070"/>
    <s v="55071.67"/>
    <n v="2835818"/>
    <n v="2822563.3"/>
    <n v="49564.502999999997"/>
    <n v="2822563.3"/>
    <n v="49564.502999999997"/>
    <n v="2772998.7969999998"/>
  </r>
  <r>
    <s v="Санкт-Петербург"/>
    <x v="20"/>
    <s v="GoPro Hero 11"/>
    <n v="4238"/>
    <s v="58222.03"/>
    <n v="2984273"/>
    <n v="2970934.33"/>
    <n v="0"/>
    <n v="2970934.33"/>
    <n v="0"/>
    <n v="2970934.33"/>
  </r>
  <r>
    <s v="Санкт-Петербург"/>
    <x v="20"/>
    <s v="Monster Bike 20x"/>
    <n v="3993"/>
    <s v="54630.24"/>
    <n v="2784944"/>
    <n v="2771865.42"/>
    <n v="136575.6"/>
    <n v="2771865.42"/>
    <n v="136575.6"/>
    <n v="2635289.8199999998"/>
  </r>
  <r>
    <s v="Санкт-Петербург"/>
    <x v="20"/>
    <s v="Ninebot Max G30"/>
    <n v="4201"/>
    <s v="57532.37"/>
    <n v="2949921.5"/>
    <n v="2935345.28"/>
    <n v="69038.843999999997"/>
    <n v="2935345.28"/>
    <n v="69038.843999999997"/>
    <n v="2866306.4359999998"/>
  </r>
  <r>
    <s v="Санкт-Петербург"/>
    <x v="20"/>
    <s v="Xiaomi Mi Pro 2"/>
    <n v="4114"/>
    <s v="56454.33"/>
    <n v="2876384.5"/>
    <n v="2864403.75"/>
    <n v="50808.896999999997"/>
    <n v="2864403.75"/>
    <n v="50808.896999999997"/>
    <n v="2813594.8530000001"/>
  </r>
  <r>
    <s v="Екатеринбург"/>
    <x v="21"/>
    <s v="GoPro Hero 11"/>
    <n v="4214"/>
    <s v="57521.37"/>
    <n v="2916583.5"/>
    <n v="2901811.28"/>
    <n v="0"/>
    <n v="2901811.28"/>
    <n v="0"/>
    <n v="2901811.28"/>
  </r>
  <r>
    <s v="Екатеринбург"/>
    <x v="21"/>
    <s v="Monster Bike 20x"/>
    <n v="4165"/>
    <s v="57688.75"/>
    <n v="2936611.5"/>
    <n v="2922805.27"/>
    <n v="144221.875"/>
    <n v="2922805.27"/>
    <n v="144221.875"/>
    <n v="2778583.395"/>
  </r>
  <r>
    <s v="Екатеринбург"/>
    <x v="21"/>
    <s v="Ninebot Max G30"/>
    <n v="4244"/>
    <s v="57527.75"/>
    <n v="2960013.5"/>
    <n v="2945785.91"/>
    <n v="69033.3"/>
    <n v="2945785.91"/>
    <n v="69033.3"/>
    <n v="2876752.6100000003"/>
  </r>
  <r>
    <s v="Екатеринбург"/>
    <x v="21"/>
    <s v="Xiaomi Mi Pro 2"/>
    <n v="3973"/>
    <s v="53815.10"/>
    <n v="2759540"/>
    <n v="2746740.15"/>
    <n v="48433.59"/>
    <n v="2746740.15"/>
    <n v="48433.59"/>
    <n v="2698306.56"/>
  </r>
  <r>
    <s v="Казань"/>
    <x v="21"/>
    <s v="GoPro Hero 11"/>
    <n v="4285"/>
    <s v="58916.94"/>
    <n v="2987489"/>
    <n v="2973439.52"/>
    <n v="0"/>
    <n v="2973439.52"/>
    <n v="0"/>
    <n v="2973439.52"/>
  </r>
  <r>
    <s v="Казань"/>
    <x v="21"/>
    <s v="Monster Bike 20x"/>
    <n v="4170"/>
    <s v="57441.46"/>
    <n v="2905379.5"/>
    <n v="2891180.55"/>
    <n v="143603.65"/>
    <n v="2891180.55"/>
    <n v="143603.65"/>
    <n v="2747576.9"/>
  </r>
  <r>
    <s v="Казань"/>
    <x v="21"/>
    <s v="Ninebot Max G30"/>
    <n v="4292"/>
    <s v="58085.68"/>
    <n v="2975715"/>
    <n v="2961724.78"/>
    <n v="69702.816000000006"/>
    <n v="2961724.78"/>
    <n v="69702.816000000006"/>
    <n v="2892021.9639999997"/>
  </r>
  <r>
    <s v="Казань"/>
    <x v="21"/>
    <s v="Xiaomi Mi Pro 2"/>
    <n v="4067"/>
    <s v="56442.10"/>
    <n v="2867895.5"/>
    <n v="2854225.85"/>
    <n v="50797.89"/>
    <n v="2854225.85"/>
    <n v="50797.89"/>
    <n v="2803427.96"/>
  </r>
  <r>
    <s v="Москва"/>
    <x v="21"/>
    <s v="GoPro Hero 11"/>
    <n v="4333"/>
    <s v="58104.35"/>
    <n v="3017561"/>
    <n v="3002857.32"/>
    <n v="0"/>
    <n v="3002857.32"/>
    <n v="0"/>
    <n v="3002857.32"/>
  </r>
  <r>
    <s v="Москва"/>
    <x v="21"/>
    <s v="Monster Bike 20x"/>
    <n v="4254"/>
    <s v="57419.00"/>
    <n v="2946309"/>
    <n v="2932350.72"/>
    <n v="143547.5"/>
    <n v="2932350.72"/>
    <n v="143547.5"/>
    <n v="2788803.22"/>
  </r>
  <r>
    <s v="Москва"/>
    <x v="21"/>
    <s v="Ninebot Max G30"/>
    <n v="4294"/>
    <s v="57734.73"/>
    <n v="2990892.5"/>
    <n v="2977273.23"/>
    <n v="69281.676000000007"/>
    <n v="2977273.23"/>
    <n v="69281.676000000007"/>
    <n v="2907991.554"/>
  </r>
  <r>
    <s v="Москва"/>
    <x v="21"/>
    <s v="Xiaomi Mi Pro 2"/>
    <n v="4211"/>
    <s v="56457.12"/>
    <n v="2914389.5"/>
    <n v="2899464.86"/>
    <n v="50811.408000000003"/>
    <n v="2899464.86"/>
    <n v="50811.408000000003"/>
    <n v="2848653.452"/>
  </r>
  <r>
    <s v="Новосибирск"/>
    <x v="21"/>
    <s v="GoPro Hero 11"/>
    <n v="4090"/>
    <s v="55701.87"/>
    <n v="2872131"/>
    <n v="2858808.18"/>
    <n v="0"/>
    <n v="2858808.18"/>
    <n v="0"/>
    <n v="2858808.18"/>
  </r>
  <r>
    <s v="Новосибирск"/>
    <x v="21"/>
    <s v="Monster Bike 20x"/>
    <n v="4136"/>
    <s v="56685.11"/>
    <n v="2902736"/>
    <n v="2889281.42"/>
    <n v="141712.77499999999"/>
    <n v="2889281.42"/>
    <n v="141712.77499999999"/>
    <n v="2747568.645"/>
  </r>
  <r>
    <s v="Новосибирск"/>
    <x v="21"/>
    <s v="Ninebot Max G30"/>
    <n v="4229"/>
    <s v="57841.11"/>
    <n v="2936235"/>
    <n v="2921890.43"/>
    <n v="69409.331999999995"/>
    <n v="2921890.43"/>
    <n v="69409.331999999995"/>
    <n v="2852481.0980000002"/>
  </r>
  <r>
    <s v="Новосибирск"/>
    <x v="21"/>
    <s v="Xiaomi Mi Pro 2"/>
    <n v="4097"/>
    <s v="55310.98"/>
    <n v="2864987.5"/>
    <n v="2850938.63"/>
    <n v="49779.881999999998"/>
    <n v="2850938.63"/>
    <n v="49779.881999999998"/>
    <n v="2801158.7479999997"/>
  </r>
  <r>
    <s v="Санкт-Петербург"/>
    <x v="21"/>
    <s v="GoPro Hero 11"/>
    <n v="4214"/>
    <s v="57514.31"/>
    <n v="2941649"/>
    <n v="2927924.68"/>
    <n v="0"/>
    <n v="2927924.68"/>
    <n v="0"/>
    <n v="2927924.68"/>
  </r>
  <r>
    <s v="Санкт-Петербург"/>
    <x v="21"/>
    <s v="Monster Bike 20x"/>
    <n v="4136"/>
    <s v="56399.01"/>
    <n v="2870751.5"/>
    <n v="2855694.94"/>
    <n v="140997.52499999999"/>
    <n v="2855694.94"/>
    <n v="140997.52499999999"/>
    <n v="2714697.415"/>
  </r>
  <r>
    <s v="Санкт-Петербург"/>
    <x v="21"/>
    <s v="Ninebot Max G30"/>
    <n v="4251"/>
    <s v="58182.01"/>
    <n v="2979050"/>
    <n v="2964648.94"/>
    <n v="69818.411999999997"/>
    <n v="2964648.94"/>
    <n v="69818.411999999997"/>
    <n v="2894830.5279999999"/>
  </r>
  <r>
    <s v="Санкт-Петербург"/>
    <x v="21"/>
    <s v="Xiaomi Mi Pro 2"/>
    <n v="3990"/>
    <s v="54653.93"/>
    <n v="2782822.5"/>
    <n v="2768564.84"/>
    <n v="49188.536999999997"/>
    <n v="2768564.84"/>
    <n v="49188.536999999997"/>
    <n v="2719376.3029999998"/>
  </r>
  <r>
    <s v="Екатеринбург"/>
    <x v="22"/>
    <s v="GoPro Hero 11"/>
    <n v="4194"/>
    <s v="57720.14"/>
    <n v="2941031"/>
    <n v="2926096.97"/>
    <n v="0"/>
    <n v="2926096.97"/>
    <n v="0"/>
    <n v="2926096.97"/>
  </r>
  <r>
    <s v="Екатеринбург"/>
    <x v="22"/>
    <s v="Monster Bike 20x"/>
    <n v="4171"/>
    <s v="56709.81"/>
    <n v="2909700.5"/>
    <n v="2896129.05"/>
    <n v="141774.52499999999"/>
    <n v="2896129.05"/>
    <n v="141774.52499999999"/>
    <n v="2754354.5249999999"/>
  </r>
  <r>
    <s v="Екатеринбург"/>
    <x v="22"/>
    <s v="Ninebot Max G30"/>
    <n v="4264"/>
    <s v="57544.67"/>
    <n v="2935625.5"/>
    <n v="2921255.59"/>
    <n v="69053.604000000007"/>
    <n v="2921255.59"/>
    <n v="69053.604000000007"/>
    <n v="2852201.986"/>
  </r>
  <r>
    <s v="Екатеринбург"/>
    <x v="22"/>
    <s v="Xiaomi Mi Pro 2"/>
    <n v="4175"/>
    <s v="56466.48"/>
    <n v="2890395.5"/>
    <n v="2875751.12"/>
    <n v="50819.832000000002"/>
    <n v="2875751.12"/>
    <n v="50819.832000000002"/>
    <n v="2824931.2880000002"/>
  </r>
  <r>
    <s v="Казань"/>
    <x v="22"/>
    <s v="GoPro Hero 11"/>
    <n v="4281"/>
    <s v="58653.72"/>
    <n v="2984233"/>
    <n v="2970112.95"/>
    <n v="0"/>
    <n v="2970112.95"/>
    <n v="0"/>
    <n v="2970112.95"/>
  </r>
  <r>
    <s v="Казань"/>
    <x v="22"/>
    <s v="Monster Bike 20x"/>
    <n v="4243"/>
    <s v="57549.85"/>
    <n v="2950888.5"/>
    <n v="2937711.05"/>
    <n v="143874.625"/>
    <n v="2937711.05"/>
    <n v="143874.625"/>
    <n v="2793836.4249999998"/>
  </r>
  <r>
    <s v="Казань"/>
    <x v="22"/>
    <s v="Ninebot Max G30"/>
    <n v="4210"/>
    <s v="57224.11"/>
    <n v="2957840"/>
    <n v="2943963.02"/>
    <n v="68668.932000000001"/>
    <n v="2943963.02"/>
    <n v="68668.932000000001"/>
    <n v="2875294.088"/>
  </r>
  <r>
    <s v="Казань"/>
    <x v="22"/>
    <s v="Xiaomi Mi Pro 2"/>
    <n v="4113"/>
    <s v="55290.76"/>
    <n v="2844292.5"/>
    <n v="2829946.43"/>
    <n v="49761.684000000001"/>
    <n v="2829946.43"/>
    <n v="49761.684000000001"/>
    <n v="2780184.7460000003"/>
  </r>
  <r>
    <s v="Москва"/>
    <x v="22"/>
    <s v="GoPro Hero 11"/>
    <n v="4376"/>
    <s v="59666.96"/>
    <n v="3060568.5"/>
    <n v="3045614.51"/>
    <n v="0"/>
    <n v="3045614.51"/>
    <n v="0"/>
    <n v="3045614.51"/>
  </r>
  <r>
    <s v="Москва"/>
    <x v="22"/>
    <s v="Monster Bike 20x"/>
    <n v="4232"/>
    <s v="57709.97"/>
    <n v="2949679.5"/>
    <n v="2935912.06"/>
    <n v="144274.92499999999"/>
    <n v="2935912.06"/>
    <n v="144274.92499999999"/>
    <n v="2791637.1350000002"/>
  </r>
  <r>
    <s v="Москва"/>
    <x v="22"/>
    <s v="Ninebot Max G30"/>
    <n v="4328"/>
    <s v="58014.64"/>
    <n v="3003019"/>
    <n v="2988452.95"/>
    <n v="69617.567999999999"/>
    <n v="2988452.95"/>
    <n v="69617.567999999999"/>
    <n v="2918835.3820000002"/>
  </r>
  <r>
    <s v="Москва"/>
    <x v="22"/>
    <s v="Xiaomi Mi Pro 2"/>
    <n v="4274"/>
    <s v="57834.07"/>
    <n v="2944819"/>
    <n v="2931659.85"/>
    <n v="52050.663"/>
    <n v="2931659.85"/>
    <n v="52050.663"/>
    <n v="2879609.1869999999"/>
  </r>
  <r>
    <s v="Новосибирск"/>
    <x v="22"/>
    <s v="GoPro Hero 11"/>
    <n v="4150"/>
    <s v="56875.62"/>
    <n v="2903760.5"/>
    <n v="2890232.53"/>
    <n v="0"/>
    <n v="2890232.53"/>
    <n v="0"/>
    <n v="2890232.53"/>
  </r>
  <r>
    <s v="Новосибирск"/>
    <x v="22"/>
    <s v="Monster Bike 20x"/>
    <n v="4080"/>
    <s v="55722.56"/>
    <n v="2781818.5"/>
    <n v="2768489.28"/>
    <n v="139306.4"/>
    <n v="2768489.28"/>
    <n v="139306.4"/>
    <n v="2629182.88"/>
  </r>
  <r>
    <s v="Новосибирск"/>
    <x v="22"/>
    <s v="Ninebot Max G30"/>
    <n v="4178"/>
    <s v="56804.30"/>
    <n v="2908478.5"/>
    <n v="2893401.19"/>
    <n v="68165.16"/>
    <n v="2893401.19"/>
    <n v="68165.16"/>
    <n v="2825236.03"/>
  </r>
  <r>
    <s v="Новосибирск"/>
    <x v="22"/>
    <s v="Xiaomi Mi Pro 2"/>
    <n v="4025"/>
    <s v="54655.83"/>
    <n v="2789499"/>
    <n v="2776689.26"/>
    <n v="49190.247000000003"/>
    <n v="2776689.26"/>
    <n v="49190.247000000003"/>
    <n v="2727499.0129999998"/>
  </r>
  <r>
    <s v="Санкт-Петербург"/>
    <x v="22"/>
    <s v="GoPro Hero 11"/>
    <n v="4206"/>
    <s v="56579.96"/>
    <n v="2911836.5"/>
    <n v="2897423.66"/>
    <n v="0"/>
    <n v="2897423.66"/>
    <n v="0"/>
    <n v="2897423.66"/>
  </r>
  <r>
    <s v="Санкт-Петербург"/>
    <x v="22"/>
    <s v="Monster Bike 20x"/>
    <n v="4146"/>
    <s v="56520.51"/>
    <n v="2875638"/>
    <n v="2861529.24"/>
    <n v="141301.27499999999"/>
    <n v="2861529.24"/>
    <n v="141301.27499999999"/>
    <n v="2720227.9650000003"/>
  </r>
  <r>
    <s v="Санкт-Петербург"/>
    <x v="22"/>
    <s v="Ninebot Max G30"/>
    <n v="4248"/>
    <s v="57686.00"/>
    <n v="2960386.5"/>
    <n v="2946433.7"/>
    <n v="69223.199999999997"/>
    <n v="2946433.7"/>
    <n v="69223.199999999997"/>
    <n v="2877210.5"/>
  </r>
  <r>
    <s v="Санкт-Петербург"/>
    <x v="22"/>
    <s v="Xiaomi Mi Pro 2"/>
    <n v="4073"/>
    <s v="55297.14"/>
    <n v="2820096.5"/>
    <n v="2806593.96"/>
    <n v="49767.425999999999"/>
    <n v="2806593.96"/>
    <n v="49767.425999999999"/>
    <n v="2756826.534"/>
  </r>
  <r>
    <s v="Екатеринбург"/>
    <x v="23"/>
    <s v="GoPro Hero 11"/>
    <n v="4164"/>
    <s v="56136.74"/>
    <n v="2927251.5"/>
    <n v="2914043.07"/>
    <n v="0"/>
    <n v="2914043.07"/>
    <n v="0"/>
    <n v="2914043.07"/>
  </r>
  <r>
    <s v="Екатеринбург"/>
    <x v="23"/>
    <s v="Monster Bike 20x"/>
    <n v="4106"/>
    <s v="55276.38"/>
    <n v="2827810.5"/>
    <n v="2814259.56"/>
    <n v="138190.95000000001"/>
    <n v="2814259.56"/>
    <n v="138190.95000000001"/>
    <n v="2676068.61"/>
  </r>
  <r>
    <s v="Екатеринбург"/>
    <x v="23"/>
    <s v="Ninebot Max G30"/>
    <n v="4230"/>
    <s v="57845.67"/>
    <n v="2964001.5"/>
    <n v="2950003.87"/>
    <n v="69414.804000000004"/>
    <n v="2950003.87"/>
    <n v="69414.804000000004"/>
    <n v="2880589.0660000001"/>
  </r>
  <r>
    <s v="Екатеринбург"/>
    <x v="23"/>
    <s v="Xiaomi Mi Pro 2"/>
    <n v="4115"/>
    <s v="55998.41"/>
    <n v="2869226.5"/>
    <n v="2856136.27"/>
    <n v="50398.569000000003"/>
    <n v="2856136.27"/>
    <n v="50398.569000000003"/>
    <n v="2805737.7009999999"/>
  </r>
  <r>
    <s v="Казань"/>
    <x v="23"/>
    <s v="GoPro Hero 11"/>
    <n v="4275"/>
    <s v="58556.18"/>
    <n v="2979330"/>
    <n v="2965788.47"/>
    <n v="0"/>
    <n v="2965788.47"/>
    <n v="0"/>
    <n v="2965788.47"/>
  </r>
  <r>
    <s v="Казань"/>
    <x v="23"/>
    <s v="Monster Bike 20x"/>
    <n v="4155"/>
    <s v="57843.26"/>
    <n v="2932709"/>
    <n v="2919953.71"/>
    <n v="144608.15"/>
    <n v="2919953.71"/>
    <n v="144608.15"/>
    <n v="2775345.56"/>
  </r>
  <r>
    <s v="Казань"/>
    <x v="23"/>
    <s v="Ninebot Max G30"/>
    <n v="4265"/>
    <s v="58076.87"/>
    <n v="2968781"/>
    <n v="2954341.78"/>
    <n v="69692.244000000006"/>
    <n v="2954341.78"/>
    <n v="69692.244000000006"/>
    <n v="2884649.5359999998"/>
  </r>
  <r>
    <s v="Казань"/>
    <x v="23"/>
    <s v="Xiaomi Mi Pro 2"/>
    <n v="4022"/>
    <s v="54310.99"/>
    <n v="2784718"/>
    <n v="2770026.05"/>
    <n v="48879.891000000003"/>
    <n v="2770026.05"/>
    <n v="48879.891000000003"/>
    <n v="2721146.159"/>
  </r>
  <r>
    <s v="Москва"/>
    <x v="23"/>
    <s v="GoPro Hero 11"/>
    <n v="4161"/>
    <s v="57044.53"/>
    <n v="2886553"/>
    <n v="2872487.55"/>
    <n v="0"/>
    <n v="2872487.55"/>
    <n v="0"/>
    <n v="2872487.55"/>
  </r>
  <r>
    <s v="Москва"/>
    <x v="23"/>
    <s v="Monster Bike 20x"/>
    <n v="4234"/>
    <s v="57617.72"/>
    <n v="2943747"/>
    <n v="2930062.24"/>
    <n v="144044.29999999999"/>
    <n v="2930062.24"/>
    <n v="144044.29999999999"/>
    <n v="2786017.9400000004"/>
  </r>
  <r>
    <s v="Москва"/>
    <x v="23"/>
    <s v="Ninebot Max G30"/>
    <n v="4237"/>
    <s v="57807.79"/>
    <n v="2968186.5"/>
    <n v="2954187.8"/>
    <n v="69369.347999999998"/>
    <n v="2954187.8"/>
    <n v="69369.347999999998"/>
    <n v="2884818.4519999996"/>
  </r>
  <r>
    <s v="Москва"/>
    <x v="23"/>
    <s v="Xiaomi Mi Pro 2"/>
    <n v="4238"/>
    <s v="57259.31"/>
    <n v="2926461"/>
    <n v="2911274.56"/>
    <n v="51533.379000000001"/>
    <n v="2911274.56"/>
    <n v="51533.379000000001"/>
    <n v="2859741.1809999999"/>
  </r>
  <r>
    <s v="Новосибирск"/>
    <x v="23"/>
    <s v="GoPro Hero 11"/>
    <n v="4204"/>
    <s v="56723.55"/>
    <n v="2944330.5"/>
    <n v="2930028.5"/>
    <n v="0"/>
    <n v="2930028.5"/>
    <n v="0"/>
    <n v="2930028.5"/>
  </r>
  <r>
    <s v="Новосибирск"/>
    <x v="23"/>
    <s v="Monster Bike 20x"/>
    <n v="4035"/>
    <s v="54826.71"/>
    <n v="2819527.5"/>
    <n v="2806084.65"/>
    <n v="137066.77499999999"/>
    <n v="2806084.65"/>
    <n v="137066.77499999999"/>
    <n v="2669017.875"/>
  </r>
  <r>
    <s v="Новосибирск"/>
    <x v="23"/>
    <s v="Ninebot Max G30"/>
    <n v="4166"/>
    <s v="56624.42"/>
    <n v="2915076"/>
    <n v="2901556.06"/>
    <n v="67949.304000000004"/>
    <n v="2901556.06"/>
    <n v="67949.304000000004"/>
    <n v="2833606.7560000001"/>
  </r>
  <r>
    <s v="Новосибирск"/>
    <x v="23"/>
    <s v="Xiaomi Mi Pro 2"/>
    <n v="4123"/>
    <s v="56415.31"/>
    <n v="2886315.5"/>
    <n v="2873351.85"/>
    <n v="50773.779000000002"/>
    <n v="2873351.85"/>
    <n v="50773.779000000002"/>
    <n v="2822578.071"/>
  </r>
  <r>
    <s v="Санкт-Петербург"/>
    <x v="23"/>
    <s v="GoPro Hero 11"/>
    <n v="4158"/>
    <s v="56471.12"/>
    <n v="2917266"/>
    <n v="2903698.17"/>
    <n v="0"/>
    <n v="2903698.17"/>
    <n v="0"/>
    <n v="2903698.17"/>
  </r>
  <r>
    <s v="Санкт-Петербург"/>
    <x v="23"/>
    <s v="Monster Bike 20x"/>
    <n v="4053"/>
    <s v="54944.63"/>
    <n v="2797040"/>
    <n v="2782427.26"/>
    <n v="137361.57500000001"/>
    <n v="2782427.26"/>
    <n v="137361.57500000001"/>
    <n v="2645065.6849999996"/>
  </r>
  <r>
    <s v="Санкт-Петербург"/>
    <x v="23"/>
    <s v="Ninebot Max G30"/>
    <n v="4187"/>
    <s v="57563.17"/>
    <n v="2931118.5"/>
    <n v="2917617.34"/>
    <n v="69075.804000000004"/>
    <n v="2917617.34"/>
    <n v="69075.804000000004"/>
    <n v="2848541.5359999998"/>
  </r>
  <r>
    <s v="Санкт-Петербург"/>
    <x v="23"/>
    <s v="Xiaomi Mi Pro 2"/>
    <n v="4186"/>
    <s v="56395.69"/>
    <n v="2903845"/>
    <n v="2889800.46"/>
    <n v="50756.120999999999"/>
    <n v="2889800.46"/>
    <n v="50756.120999999999"/>
    <n v="2839044.3390000002"/>
  </r>
  <r>
    <s v="Екатеринбург"/>
    <x v="24"/>
    <s v="GoPro Hero 11"/>
    <n v="4203"/>
    <s v="57382.78"/>
    <n v="2956514.5"/>
    <n v="2942850.25"/>
    <n v="0"/>
    <n v="2942850.25"/>
    <n v="0"/>
    <n v="2942850.25"/>
  </r>
  <r>
    <s v="Екатеринбург"/>
    <x v="24"/>
    <s v="Monster Bike 20x"/>
    <n v="4050"/>
    <s v="54947.65"/>
    <n v="2802001"/>
    <n v="2788943.15"/>
    <n v="137369.125"/>
    <n v="2788943.15"/>
    <n v="137369.125"/>
    <n v="2651574.0249999999"/>
  </r>
  <r>
    <s v="Екатеринбург"/>
    <x v="24"/>
    <s v="Ninebot Max G30"/>
    <n v="4185"/>
    <s v="56818.97"/>
    <n v="2912806"/>
    <n v="2899525.09"/>
    <n v="68182.763999999996"/>
    <n v="2899525.09"/>
    <n v="68182.763999999996"/>
    <n v="2831342.3259999999"/>
  </r>
  <r>
    <s v="Екатеринбург"/>
    <x v="24"/>
    <s v="Xiaomi Mi Pro 2"/>
    <n v="4067"/>
    <s v="55881.01"/>
    <n v="2846337"/>
    <n v="2833470.17"/>
    <n v="50292.909"/>
    <n v="2833470.17"/>
    <n v="50292.909"/>
    <n v="2783177.2609999999"/>
  </r>
  <r>
    <s v="Казань"/>
    <x v="24"/>
    <s v="GoPro Hero 11"/>
    <n v="4163"/>
    <s v="56644.65"/>
    <n v="2900499"/>
    <n v="2886656.12"/>
    <n v="0"/>
    <n v="2886656.12"/>
    <n v="0"/>
    <n v="2886656.12"/>
  </r>
  <r>
    <s v="Казань"/>
    <x v="24"/>
    <s v="Monster Bike 20x"/>
    <n v="4185"/>
    <s v="56310.32"/>
    <n v="2904492.5"/>
    <n v="2889327"/>
    <n v="140775.79999999999"/>
    <n v="2889327"/>
    <n v="140775.79999999999"/>
    <n v="2748551.2"/>
  </r>
  <r>
    <s v="Казань"/>
    <x v="24"/>
    <s v="Ninebot Max G30"/>
    <n v="4275"/>
    <s v="57454.95"/>
    <n v="2964624"/>
    <n v="2949906.53"/>
    <n v="68945.94"/>
    <n v="2949906.53"/>
    <n v="68945.94"/>
    <n v="2880960.59"/>
  </r>
  <r>
    <s v="Казань"/>
    <x v="24"/>
    <s v="Xiaomi Mi Pro 2"/>
    <n v="4182"/>
    <s v="56814.02"/>
    <n v="2890430.5"/>
    <n v="2875931.35"/>
    <n v="51132.618000000002"/>
    <n v="2875931.35"/>
    <n v="51132.618000000002"/>
    <n v="2824798.7320000003"/>
  </r>
  <r>
    <s v="Москва"/>
    <x v="24"/>
    <s v="GoPro Hero 11"/>
    <n v="4323"/>
    <s v="59125.58"/>
    <n v="3010659"/>
    <n v="2995156.14"/>
    <n v="0"/>
    <n v="2995156.14"/>
    <n v="0"/>
    <n v="2995156.14"/>
  </r>
  <r>
    <s v="Москва"/>
    <x v="24"/>
    <s v="Monster Bike 20x"/>
    <n v="4174"/>
    <s v="57441.19"/>
    <n v="2910519.5"/>
    <n v="2895930.53"/>
    <n v="143602.97500000001"/>
    <n v="2895930.53"/>
    <n v="143602.97500000001"/>
    <n v="2752327.5549999997"/>
  </r>
  <r>
    <s v="Москва"/>
    <x v="24"/>
    <s v="Ninebot Max G30"/>
    <n v="4321"/>
    <s v="58498.28"/>
    <n v="3006700"/>
    <n v="2991985.09"/>
    <n v="70197.936000000002"/>
    <n v="2991985.09"/>
    <n v="70197.936000000002"/>
    <n v="2921787.1539999996"/>
  </r>
  <r>
    <s v="Москва"/>
    <x v="24"/>
    <s v="Xiaomi Mi Pro 2"/>
    <n v="4209"/>
    <s v="57095.10"/>
    <n v="2946939"/>
    <n v="2932306.34"/>
    <n v="51385.59"/>
    <n v="2932306.34"/>
    <n v="51385.59"/>
    <n v="2880920.75"/>
  </r>
  <r>
    <s v="Новосибирск"/>
    <x v="24"/>
    <s v="GoPro Hero 11"/>
    <n v="4113"/>
    <s v="56640.96"/>
    <n v="2882019"/>
    <n v="2868549.98"/>
    <n v="0"/>
    <n v="2868549.98"/>
    <n v="0"/>
    <n v="2868549.98"/>
  </r>
  <r>
    <s v="Новосибирск"/>
    <x v="24"/>
    <s v="Monster Bike 20x"/>
    <n v="4212"/>
    <s v="57618.23"/>
    <n v="2896073"/>
    <n v="2882531.37"/>
    <n v="144045.57500000001"/>
    <n v="2882531.37"/>
    <n v="144045.57500000001"/>
    <n v="2738485.7949999999"/>
  </r>
  <r>
    <s v="Новосибирск"/>
    <x v="24"/>
    <s v="Ninebot Max G30"/>
    <n v="4063"/>
    <s v="55945.90"/>
    <n v="2847891"/>
    <n v="2834246.38"/>
    <n v="67135.08"/>
    <n v="2834246.38"/>
    <n v="67135.08"/>
    <n v="2767111.3"/>
  </r>
  <r>
    <s v="Новосибирск"/>
    <x v="24"/>
    <s v="Xiaomi Mi Pro 2"/>
    <n v="4033"/>
    <s v="54790.05"/>
    <n v="2785530"/>
    <n v="2771493.35"/>
    <n v="49311.044999999998"/>
    <n v="2771493.35"/>
    <n v="49311.044999999998"/>
    <n v="2722182.3050000002"/>
  </r>
  <r>
    <s v="Санкт-Петербург"/>
    <x v="24"/>
    <s v="GoPro Hero 11"/>
    <n v="4118"/>
    <s v="56162.95"/>
    <n v="2838721.5"/>
    <n v="2824314.53"/>
    <n v="0"/>
    <n v="2824314.53"/>
    <n v="0"/>
    <n v="2824314.53"/>
  </r>
  <r>
    <s v="Санкт-Петербург"/>
    <x v="24"/>
    <s v="Monster Bike 20x"/>
    <n v="4236"/>
    <s v="58385.11"/>
    <n v="2971196"/>
    <n v="2957265.63"/>
    <n v="145962.77499999999"/>
    <n v="2957265.63"/>
    <n v="145962.77499999999"/>
    <n v="2811302.855"/>
  </r>
  <r>
    <s v="Санкт-Петербург"/>
    <x v="24"/>
    <s v="Ninebot Max G30"/>
    <n v="4215"/>
    <s v="58245.09"/>
    <n v="2975814.5"/>
    <n v="2960797.45"/>
    <n v="69894.107999999993"/>
    <n v="2960797.45"/>
    <n v="69894.107999999993"/>
    <n v="2890903.3420000002"/>
  </r>
  <r>
    <s v="Санкт-Петербург"/>
    <x v="24"/>
    <s v="Xiaomi Mi Pro 2"/>
    <n v="4010"/>
    <s v="53735.74"/>
    <n v="2786429.5"/>
    <n v="2772952.78"/>
    <n v="48362.165999999997"/>
    <n v="2772952.78"/>
    <n v="48362.165999999997"/>
    <n v="2724590.6139999996"/>
  </r>
  <r>
    <s v="Екатеринбург"/>
    <x v="25"/>
    <s v="GoPro Hero 11"/>
    <n v="3951"/>
    <s v="53690.87"/>
    <n v="2768614"/>
    <n v="2754705.84"/>
    <n v="0"/>
    <n v="2754705.84"/>
    <n v="0"/>
    <n v="2754705.84"/>
  </r>
  <r>
    <s v="Екатеринбург"/>
    <x v="25"/>
    <s v="Monster Bike 20x"/>
    <n v="3975"/>
    <s v="54416.27"/>
    <n v="2743945"/>
    <n v="2730526.99"/>
    <n v="136040.67499999999"/>
    <n v="2730526.99"/>
    <n v="136040.67499999999"/>
    <n v="2594486.3150000004"/>
  </r>
  <r>
    <s v="Екатеринбург"/>
    <x v="25"/>
    <s v="Ninebot Max G30"/>
    <n v="3998"/>
    <s v="54511.56"/>
    <n v="2779540.5"/>
    <n v="2765934.88"/>
    <n v="65413.872000000003"/>
    <n v="2765934.88"/>
    <n v="65413.872000000003"/>
    <n v="2700521.0079999999"/>
  </r>
  <r>
    <s v="Екатеринбург"/>
    <x v="25"/>
    <s v="Xiaomi Mi Pro 2"/>
    <n v="3735"/>
    <s v="50601.72"/>
    <n v="2593964.5"/>
    <n v="2581059.11"/>
    <n v="45541.548000000003"/>
    <n v="2581059.11"/>
    <n v="45541.548000000003"/>
    <n v="2535517.5619999999"/>
  </r>
  <r>
    <s v="Казань"/>
    <x v="25"/>
    <s v="GoPro Hero 11"/>
    <n v="3967"/>
    <s v="54754.55"/>
    <n v="2786668"/>
    <n v="2772516.46"/>
    <n v="0"/>
    <n v="2772516.46"/>
    <n v="0"/>
    <n v="2772516.46"/>
  </r>
  <r>
    <s v="Казань"/>
    <x v="25"/>
    <s v="Monster Bike 20x"/>
    <n v="3858"/>
    <s v="52750.07"/>
    <n v="2684654"/>
    <n v="2670610.9900000002"/>
    <n v="131875.17499999999"/>
    <n v="2670610.9900000002"/>
    <n v="131875.17499999999"/>
    <n v="2538735.8150000004"/>
  </r>
  <r>
    <s v="Казань"/>
    <x v="25"/>
    <s v="Ninebot Max G30"/>
    <n v="3965"/>
    <s v="53537.57"/>
    <n v="2764288"/>
    <n v="2750462.99"/>
    <n v="64245.084000000003"/>
    <n v="2750462.99"/>
    <n v="64245.084000000003"/>
    <n v="2686217.9060000004"/>
  </r>
  <r>
    <s v="Казань"/>
    <x v="25"/>
    <s v="Xiaomi Mi Pro 2"/>
    <n v="3876"/>
    <s v="53185.61"/>
    <n v="2716005.5"/>
    <n v="2703042.85"/>
    <n v="47867.048999999999"/>
    <n v="2703042.85"/>
    <n v="47867.048999999999"/>
    <n v="2655175.801"/>
  </r>
  <r>
    <s v="Москва"/>
    <x v="25"/>
    <s v="GoPro Hero 11"/>
    <n v="3992"/>
    <s v="54249.26"/>
    <n v="2752004"/>
    <n v="2738465.25"/>
    <n v="0"/>
    <n v="2738465.25"/>
    <n v="0"/>
    <n v="2738465.25"/>
  </r>
  <r>
    <s v="Москва"/>
    <x v="25"/>
    <s v="Monster Bike 20x"/>
    <n v="4026"/>
    <s v="55422.73"/>
    <n v="2802175"/>
    <n v="2787662.38"/>
    <n v="138556.82500000001"/>
    <n v="2787662.38"/>
    <n v="138556.82500000001"/>
    <n v="2649105.5549999997"/>
  </r>
  <r>
    <s v="Москва"/>
    <x v="25"/>
    <s v="Ninebot Max G30"/>
    <n v="3884"/>
    <s v="53715.73"/>
    <n v="2734251.5"/>
    <n v="2721071.45"/>
    <n v="64458.875999999997"/>
    <n v="2721071.45"/>
    <n v="64458.875999999997"/>
    <n v="2656612.574"/>
  </r>
  <r>
    <s v="Москва"/>
    <x v="25"/>
    <s v="Xiaomi Mi Pro 2"/>
    <n v="3970"/>
    <s v="53707.08"/>
    <n v="2742110"/>
    <n v="2729924.39"/>
    <n v="48336.372000000003"/>
    <n v="2729924.39"/>
    <n v="48336.372000000003"/>
    <n v="2681588.0180000002"/>
  </r>
  <r>
    <s v="Новосибирск"/>
    <x v="25"/>
    <s v="GoPro Hero 11"/>
    <n v="3820"/>
    <s v="52019.62"/>
    <n v="2668357.5"/>
    <n v="2655031.8199999998"/>
    <n v="0"/>
    <n v="2655031.8199999998"/>
    <n v="0"/>
    <n v="2655031.8199999998"/>
  </r>
  <r>
    <s v="Новосибирск"/>
    <x v="25"/>
    <s v="Monster Bike 20x"/>
    <n v="3930"/>
    <s v="53808.29"/>
    <n v="2751999.5"/>
    <n v="2738792.51"/>
    <n v="134520.72500000001"/>
    <n v="2738792.51"/>
    <n v="134520.72500000001"/>
    <n v="2604271.7849999997"/>
  </r>
  <r>
    <s v="Новосибирск"/>
    <x v="25"/>
    <s v="Ninebot Max G30"/>
    <n v="3898"/>
    <s v="53566.21"/>
    <n v="2731435.5"/>
    <n v="2718625.67"/>
    <n v="64279.451999999997"/>
    <n v="2718625.67"/>
    <n v="64279.451999999997"/>
    <n v="2654346.2179999999"/>
  </r>
  <r>
    <s v="Новосибирск"/>
    <x v="25"/>
    <s v="Xiaomi Mi Pro 2"/>
    <n v="3870"/>
    <s v="52516.83"/>
    <n v="2671689.5"/>
    <n v="2659891.7999999998"/>
    <n v="47265.146999999997"/>
    <n v="2659891.7999999998"/>
    <n v="47265.146999999997"/>
    <n v="2612626.6529999999"/>
  </r>
  <r>
    <s v="Санкт-Петербург"/>
    <x v="25"/>
    <s v="GoPro Hero 11"/>
    <n v="3921"/>
    <s v="53778.37"/>
    <n v="2719512.5"/>
    <n v="2706586.54"/>
    <n v="0"/>
    <n v="2706586.54"/>
    <n v="0"/>
    <n v="2706586.54"/>
  </r>
  <r>
    <s v="Санкт-Петербург"/>
    <x v="25"/>
    <s v="Monster Bike 20x"/>
    <n v="3719"/>
    <s v="50571.40"/>
    <n v="2600096.5"/>
    <n v="2586935.29"/>
    <n v="126428.5"/>
    <n v="2586935.29"/>
    <n v="126428.5"/>
    <n v="2460506.79"/>
  </r>
  <r>
    <s v="Санкт-Петербург"/>
    <x v="25"/>
    <s v="Ninebot Max G30"/>
    <n v="3912"/>
    <s v="53670.80"/>
    <n v="2742986.5"/>
    <n v="2729428.4"/>
    <n v="64404.959999999999"/>
    <n v="2729428.4"/>
    <n v="64404.959999999999"/>
    <n v="2665023.44"/>
  </r>
  <r>
    <s v="Санкт-Петербург"/>
    <x v="25"/>
    <s v="Xiaomi Mi Pro 2"/>
    <n v="3763"/>
    <s v="50654.96"/>
    <n v="2581218.5"/>
    <n v="2568602.0499999998"/>
    <n v="45589.464"/>
    <n v="2568602.0499999998"/>
    <n v="45589.464"/>
    <n v="2523012.5859999997"/>
  </r>
  <r>
    <s v="Екатеринбург"/>
    <x v="26"/>
    <s v="GoPro Hero 11"/>
    <n v="4475"/>
    <s v="60905.84"/>
    <n v="3143008"/>
    <n v="3128465.41"/>
    <n v="0"/>
    <n v="3128465.41"/>
    <n v="0"/>
    <n v="3128465.41"/>
  </r>
  <r>
    <s v="Екатеринбург"/>
    <x v="26"/>
    <s v="Monster Bike 20x"/>
    <n v="4405"/>
    <s v="60336.44"/>
    <n v="3091102"/>
    <n v="3076593.22"/>
    <n v="150841.1"/>
    <n v="3076593.22"/>
    <n v="150841.1"/>
    <n v="2925752.12"/>
  </r>
  <r>
    <s v="Екатеринбург"/>
    <x v="26"/>
    <s v="Ninebot Max G30"/>
    <n v="4467"/>
    <s v="61559.68"/>
    <n v="3121862.5"/>
    <n v="3106714.85"/>
    <n v="73871.615999999995"/>
    <n v="3106714.85"/>
    <n v="73871.615999999995"/>
    <n v="3032843.2340000002"/>
  </r>
  <r>
    <s v="Екатеринбург"/>
    <x v="26"/>
    <s v="Xiaomi Mi Pro 2"/>
    <n v="4381"/>
    <s v="59472.77"/>
    <n v="3049360"/>
    <n v="3034586.48"/>
    <n v="53525.493000000002"/>
    <n v="3034586.48"/>
    <n v="53525.493000000002"/>
    <n v="2981060.9870000002"/>
  </r>
  <r>
    <s v="Казань"/>
    <x v="26"/>
    <s v="GoPro Hero 11"/>
    <n v="4460"/>
    <s v="61167.24"/>
    <n v="3106400.5"/>
    <n v="3092148.75"/>
    <n v="0"/>
    <n v="3092148.75"/>
    <n v="0"/>
    <n v="3092148.75"/>
  </r>
  <r>
    <s v="Казань"/>
    <x v="26"/>
    <s v="Monster Bike 20x"/>
    <n v="4369"/>
    <s v="58650.84"/>
    <n v="3028421.5"/>
    <n v="3013164.6"/>
    <n v="146627.1"/>
    <n v="3013164.6"/>
    <n v="146627.1"/>
    <n v="2866537.5"/>
  </r>
  <r>
    <s v="Казань"/>
    <x v="26"/>
    <s v="Ninebot Max G30"/>
    <n v="4450"/>
    <s v="60725.53"/>
    <n v="3098264"/>
    <n v="3083706.1"/>
    <n v="72870.635999999999"/>
    <n v="3083706.1"/>
    <n v="72870.635999999999"/>
    <n v="3010835.4640000002"/>
  </r>
  <r>
    <s v="Казань"/>
    <x v="26"/>
    <s v="Xiaomi Mi Pro 2"/>
    <n v="4412"/>
    <s v="60275.73"/>
    <n v="3068413.5"/>
    <n v="3054982.48"/>
    <n v="54248.156999999999"/>
    <n v="3054982.48"/>
    <n v="54248.156999999999"/>
    <n v="3000734.3229999999"/>
  </r>
  <r>
    <s v="Москва"/>
    <x v="26"/>
    <s v="GoPro Hero 11"/>
    <n v="4587"/>
    <s v="61959.91"/>
    <n v="3163094.5"/>
    <n v="3148252.01"/>
    <n v="0"/>
    <n v="3148252.01"/>
    <n v="0"/>
    <n v="3148252.01"/>
  </r>
  <r>
    <s v="Москва"/>
    <x v="26"/>
    <s v="Monster Bike 20x"/>
    <n v="4490"/>
    <s v="61291.23"/>
    <n v="3120624"/>
    <n v="3105826.07"/>
    <n v="153228.07500000001"/>
    <n v="3105826.07"/>
    <n v="153228.07500000001"/>
    <n v="2952597.9949999996"/>
  </r>
  <r>
    <s v="Москва"/>
    <x v="26"/>
    <s v="Ninebot Max G30"/>
    <n v="4645"/>
    <s v="63387.45"/>
    <n v="3246355"/>
    <n v="3231376.33"/>
    <n v="76064.94"/>
    <n v="3231376.33"/>
    <n v="76064.94"/>
    <n v="3155311.39"/>
  </r>
  <r>
    <s v="Москва"/>
    <x v="26"/>
    <s v="Xiaomi Mi Pro 2"/>
    <n v="4397"/>
    <s v="59830.51"/>
    <n v="3059283.5"/>
    <n v="3045041.24"/>
    <n v="53847.459000000003"/>
    <n v="3045041.24"/>
    <n v="53847.459000000003"/>
    <n v="2991193.7810000004"/>
  </r>
  <r>
    <s v="Новосибирск"/>
    <x v="26"/>
    <s v="GoPro Hero 11"/>
    <n v="4485"/>
    <s v="61786.31"/>
    <n v="3137578"/>
    <n v="3122201.28"/>
    <n v="0"/>
    <n v="3122201.28"/>
    <n v="0"/>
    <n v="3122201.28"/>
  </r>
  <r>
    <s v="Новосибирск"/>
    <x v="26"/>
    <s v="Monster Bike 20x"/>
    <n v="4347"/>
    <s v="59461.24"/>
    <n v="3032246.5"/>
    <n v="3017357.75"/>
    <n v="148653.1"/>
    <n v="3017357.75"/>
    <n v="148653.1"/>
    <n v="2868704.65"/>
  </r>
  <r>
    <s v="Новосибирск"/>
    <x v="26"/>
    <s v="Ninebot Max G30"/>
    <n v="4298"/>
    <s v="58205.34"/>
    <n v="3006222"/>
    <n v="2991655.12"/>
    <n v="69846.407999999996"/>
    <n v="2991655.12"/>
    <n v="69846.407999999996"/>
    <n v="2921808.7120000003"/>
  </r>
  <r>
    <s v="Новосибирск"/>
    <x v="26"/>
    <s v="Xiaomi Mi Pro 2"/>
    <n v="4393"/>
    <s v="60287.66"/>
    <n v="3053774"/>
    <n v="3038134.1"/>
    <n v="54258.894"/>
    <n v="3038134.1"/>
    <n v="54258.894"/>
    <n v="2983875.2060000002"/>
  </r>
  <r>
    <s v="Санкт-Петербург"/>
    <x v="26"/>
    <s v="GoPro Hero 11"/>
    <n v="4440"/>
    <s v="60567.26"/>
    <n v="3099654"/>
    <n v="3084516.37"/>
    <n v="0"/>
    <n v="3084516.37"/>
    <n v="0"/>
    <n v="3084516.37"/>
  </r>
  <r>
    <s v="Санкт-Петербург"/>
    <x v="26"/>
    <s v="Monster Bike 20x"/>
    <n v="4464"/>
    <s v="60316.54"/>
    <n v="3105707"/>
    <n v="3091631.12"/>
    <n v="150791.35"/>
    <n v="3091631.12"/>
    <n v="150791.35"/>
    <n v="2940839.77"/>
  </r>
  <r>
    <s v="Санкт-Петербург"/>
    <x v="26"/>
    <s v="Ninebot Max G30"/>
    <n v="4440"/>
    <s v="60970.36"/>
    <n v="3077268"/>
    <n v="3062505.08"/>
    <n v="73164.432000000001"/>
    <n v="3062505.08"/>
    <n v="73164.432000000001"/>
    <n v="2989340.648"/>
  </r>
  <r>
    <s v="Санкт-Петербург"/>
    <x v="26"/>
    <s v="Xiaomi Mi Pro 2"/>
    <n v="4372"/>
    <s v="60407.95"/>
    <n v="3053007.5"/>
    <n v="3037905.37"/>
    <n v="54367.154999999999"/>
    <n v="3037905.37"/>
    <n v="54367.154999999999"/>
    <n v="2983538.2150000003"/>
  </r>
  <r>
    <s v="Екатеринбург"/>
    <x v="27"/>
    <s v="GoPro Hero 11"/>
    <n v="4158"/>
    <s v="57688.59"/>
    <n v="2914691.5"/>
    <n v="2901140.13"/>
    <n v="0"/>
    <n v="2901140.13"/>
    <n v="0"/>
    <n v="2901140.13"/>
  </r>
  <r>
    <s v="Екатеринбург"/>
    <x v="27"/>
    <s v="Monster Bike 20x"/>
    <n v="4048"/>
    <s v="55412.13"/>
    <n v="2821421.5"/>
    <n v="2807683.77"/>
    <n v="138530.32500000001"/>
    <n v="2807683.77"/>
    <n v="138530.32500000001"/>
    <n v="2669153.4449999998"/>
  </r>
  <r>
    <s v="Екатеринбург"/>
    <x v="27"/>
    <s v="Ninebot Max G30"/>
    <n v="4238"/>
    <s v="58225.09"/>
    <n v="2991542.5"/>
    <n v="2977129.85"/>
    <n v="69870.107999999993"/>
    <n v="2977129.85"/>
    <n v="69870.107999999993"/>
    <n v="2907259.7420000001"/>
  </r>
  <r>
    <s v="Екатеринбург"/>
    <x v="27"/>
    <s v="Xiaomi Mi Pro 2"/>
    <n v="4074"/>
    <s v="55508.12"/>
    <n v="2856867"/>
    <n v="2843513.22"/>
    <n v="49957.307999999997"/>
    <n v="2843513.22"/>
    <n v="49957.307999999997"/>
    <n v="2793555.912"/>
  </r>
  <r>
    <s v="Казань"/>
    <x v="27"/>
    <s v="GoPro Hero 11"/>
    <n v="4218"/>
    <s v="57720.60"/>
    <n v="2964596"/>
    <n v="2949827.16"/>
    <n v="0"/>
    <n v="2949827.16"/>
    <n v="0"/>
    <n v="2949827.16"/>
  </r>
  <r>
    <s v="Казань"/>
    <x v="27"/>
    <s v="Monster Bike 20x"/>
    <n v="4087"/>
    <s v="55142.01"/>
    <n v="2803970.5"/>
    <n v="2790191.29"/>
    <n v="137855.02499999999"/>
    <n v="2790191.29"/>
    <n v="137855.02499999999"/>
    <n v="2652336.2650000001"/>
  </r>
  <r>
    <s v="Казань"/>
    <x v="27"/>
    <s v="Ninebot Max G30"/>
    <n v="4215"/>
    <s v="57019.34"/>
    <n v="2899517"/>
    <n v="2885932.58"/>
    <n v="68423.207999999999"/>
    <n v="2885932.58"/>
    <n v="68423.207999999999"/>
    <n v="2817509.372"/>
  </r>
  <r>
    <s v="Казань"/>
    <x v="27"/>
    <s v="Xiaomi Mi Pro 2"/>
    <n v="4189"/>
    <s v="57034.33"/>
    <n v="2944345"/>
    <n v="2930548.47"/>
    <n v="51330.896999999997"/>
    <n v="2930548.47"/>
    <n v="51330.896999999997"/>
    <n v="2879217.5730000003"/>
  </r>
  <r>
    <s v="Москва"/>
    <x v="27"/>
    <s v="GoPro Hero 11"/>
    <n v="4193"/>
    <s v="57813.23"/>
    <n v="2915173.5"/>
    <n v="2900489.02"/>
    <n v="0"/>
    <n v="2900489.02"/>
    <n v="0"/>
    <n v="2900489.02"/>
  </r>
  <r>
    <s v="Москва"/>
    <x v="27"/>
    <s v="Monster Bike 20x"/>
    <n v="4196"/>
    <s v="57627.76"/>
    <n v="2889738.5"/>
    <n v="2876475.3"/>
    <n v="144069.4"/>
    <n v="2876475.3"/>
    <n v="144069.4"/>
    <n v="2732405.9"/>
  </r>
  <r>
    <s v="Москва"/>
    <x v="27"/>
    <s v="Ninebot Max G30"/>
    <n v="4350"/>
    <s v="59296.58"/>
    <n v="3034900.5"/>
    <n v="3019404.39"/>
    <n v="71155.895999999993"/>
    <n v="3019404.39"/>
    <n v="71155.895999999993"/>
    <n v="2948248.4939999999"/>
  </r>
  <r>
    <s v="Москва"/>
    <x v="27"/>
    <s v="Xiaomi Mi Pro 2"/>
    <n v="4151"/>
    <s v="56920.82"/>
    <n v="2934646"/>
    <n v="2919955.64"/>
    <n v="51228.737999999998"/>
    <n v="2919955.64"/>
    <n v="51228.737999999998"/>
    <n v="2868726.9020000002"/>
  </r>
  <r>
    <s v="Новосибирск"/>
    <x v="27"/>
    <s v="GoPro Hero 11"/>
    <n v="4182"/>
    <s v="57766.94"/>
    <n v="2936133.5"/>
    <n v="2921586.52"/>
    <n v="0"/>
    <n v="2921586.52"/>
    <n v="0"/>
    <n v="2921586.52"/>
  </r>
  <r>
    <s v="Новосибирск"/>
    <x v="27"/>
    <s v="Monster Bike 20x"/>
    <n v="4090"/>
    <s v="55278.08"/>
    <n v="2862845"/>
    <n v="2849889.85"/>
    <n v="138195.20000000001"/>
    <n v="2849889.85"/>
    <n v="138195.20000000001"/>
    <n v="2711694.65"/>
  </r>
  <r>
    <s v="Новосибирск"/>
    <x v="27"/>
    <s v="Ninebot Max G30"/>
    <n v="4173"/>
    <s v="56789.42"/>
    <n v="2899009.5"/>
    <n v="2884222.05"/>
    <n v="68147.304000000004"/>
    <n v="2884222.05"/>
    <n v="68147.304000000004"/>
    <n v="2816074.7459999998"/>
  </r>
  <r>
    <s v="Новосибирск"/>
    <x v="27"/>
    <s v="Xiaomi Mi Pro 2"/>
    <n v="4018"/>
    <s v="54672.06"/>
    <n v="2776720"/>
    <n v="2763506.23"/>
    <n v="49204.853999999999"/>
    <n v="2763506.23"/>
    <n v="49204.853999999999"/>
    <n v="2714301.3760000002"/>
  </r>
  <r>
    <s v="Санкт-Петербург"/>
    <x v="27"/>
    <s v="GoPro Hero 11"/>
    <n v="3960"/>
    <s v="54220.35"/>
    <n v="2797302.5"/>
    <n v="2784361.24"/>
    <n v="0"/>
    <n v="2784361.24"/>
    <n v="0"/>
    <n v="2784361.24"/>
  </r>
  <r>
    <s v="Санкт-Петербург"/>
    <x v="27"/>
    <s v="Monster Bike 20x"/>
    <n v="4204"/>
    <s v="57721.40"/>
    <n v="2979361.5"/>
    <n v="2965678.41"/>
    <n v="144303.5"/>
    <n v="2965678.41"/>
    <n v="144303.5"/>
    <n v="2821374.91"/>
  </r>
  <r>
    <s v="Санкт-Петербург"/>
    <x v="27"/>
    <s v="Ninebot Max G30"/>
    <n v="4155"/>
    <s v="56214.48"/>
    <n v="2887077.5"/>
    <n v="2872646.09"/>
    <n v="67457.376000000004"/>
    <n v="2872646.09"/>
    <n v="67457.376000000004"/>
    <n v="2805188.7139999997"/>
  </r>
  <r>
    <s v="Санкт-Петербург"/>
    <x v="27"/>
    <s v="Xiaomi Mi Pro 2"/>
    <n v="3993"/>
    <s v="54925.46"/>
    <n v="2770614"/>
    <n v="2757127.38"/>
    <n v="49432.913999999997"/>
    <n v="2757127.38"/>
    <n v="49432.913999999997"/>
    <n v="2707694.466"/>
  </r>
  <r>
    <s v="Екатеринбург"/>
    <x v="28"/>
    <s v="GoPro Hero 11"/>
    <n v="4202"/>
    <s v="57667.36"/>
    <n v="2936760"/>
    <n v="2922354.13"/>
    <n v="0"/>
    <n v="2922354.13"/>
    <n v="0"/>
    <n v="2922354.13"/>
  </r>
  <r>
    <s v="Екатеринбург"/>
    <x v="28"/>
    <s v="Monster Bike 20x"/>
    <n v="4094"/>
    <s v="56406.01"/>
    <n v="2906361"/>
    <n v="2892071.21"/>
    <n v="141015.02499999999"/>
    <n v="2892071.21"/>
    <n v="141015.02499999999"/>
    <n v="2751056.1850000001"/>
  </r>
  <r>
    <s v="Екатеринбург"/>
    <x v="28"/>
    <s v="Ninebot Max G30"/>
    <n v="4146"/>
    <s v="55837.27"/>
    <n v="2862630.5"/>
    <n v="2848741.22"/>
    <n v="67004.724000000002"/>
    <n v="2848741.22"/>
    <n v="67004.724000000002"/>
    <n v="2781736.4960000003"/>
  </r>
  <r>
    <s v="Екатеринбург"/>
    <x v="28"/>
    <s v="Xiaomi Mi Pro 2"/>
    <n v="4122"/>
    <s v="56413.63"/>
    <n v="2862945"/>
    <n v="2849424.68"/>
    <n v="50772.267"/>
    <n v="2849424.68"/>
    <n v="50772.267"/>
    <n v="2798652.4130000002"/>
  </r>
  <r>
    <s v="Казань"/>
    <x v="28"/>
    <s v="GoPro Hero 11"/>
    <n v="4370"/>
    <s v="59832.46"/>
    <n v="3073642.5"/>
    <n v="3058174.22"/>
    <n v="0"/>
    <n v="3058174.22"/>
    <n v="0"/>
    <n v="3058174.22"/>
  </r>
  <r>
    <s v="Казань"/>
    <x v="28"/>
    <s v="Monster Bike 20x"/>
    <n v="4167"/>
    <s v="57210.88"/>
    <n v="2925253"/>
    <n v="2912184.55"/>
    <n v="143027.20000000001"/>
    <n v="2912184.55"/>
    <n v="143027.20000000001"/>
    <n v="2769157.3499999996"/>
  </r>
  <r>
    <s v="Казань"/>
    <x v="28"/>
    <s v="Ninebot Max G30"/>
    <n v="4242"/>
    <s v="58297.30"/>
    <n v="2978910"/>
    <n v="2965342.93"/>
    <n v="69956.759999999995"/>
    <n v="2965342.93"/>
    <n v="69956.759999999995"/>
    <n v="2895386.1700000004"/>
  </r>
  <r>
    <s v="Казань"/>
    <x v="28"/>
    <s v="Xiaomi Mi Pro 2"/>
    <n v="4062"/>
    <s v="54983.21"/>
    <n v="2820252.5"/>
    <n v="2806166.88"/>
    <n v="49484.889000000003"/>
    <n v="2806166.88"/>
    <n v="49484.889000000003"/>
    <n v="2756681.9909999999"/>
  </r>
  <r>
    <s v="Москва"/>
    <x v="28"/>
    <s v="GoPro Hero 11"/>
    <n v="4325"/>
    <s v="58630.44"/>
    <n v="3022502"/>
    <n v="3007805.33"/>
    <n v="0"/>
    <n v="3007805.33"/>
    <n v="0"/>
    <n v="3007805.33"/>
  </r>
  <r>
    <s v="Москва"/>
    <x v="28"/>
    <s v="Monster Bike 20x"/>
    <n v="4250"/>
    <s v="57991.79"/>
    <n v="3000178.5"/>
    <n v="2985088.45"/>
    <n v="144979.47500000001"/>
    <n v="2985088.45"/>
    <n v="144979.47500000001"/>
    <n v="2840108.9750000001"/>
  </r>
  <r>
    <s v="Москва"/>
    <x v="28"/>
    <s v="Ninebot Max G30"/>
    <n v="4252"/>
    <s v="58428.57"/>
    <n v="3002649.5"/>
    <n v="2988042.46"/>
    <n v="70114.284"/>
    <n v="2988042.46"/>
    <n v="70114.284"/>
    <n v="2917928.176"/>
  </r>
  <r>
    <s v="Москва"/>
    <x v="28"/>
    <s v="Xiaomi Mi Pro 2"/>
    <n v="4160"/>
    <s v="57530.74"/>
    <n v="2911358"/>
    <n v="2896731.84"/>
    <n v="51777.665999999997"/>
    <n v="2896731.84"/>
    <n v="51777.665999999997"/>
    <n v="2844954.1739999996"/>
  </r>
  <r>
    <s v="Новосибирск"/>
    <x v="28"/>
    <s v="GoPro Hero 11"/>
    <n v="4166"/>
    <s v="56985.13"/>
    <n v="2937154"/>
    <n v="2922361.45"/>
    <n v="0"/>
    <n v="2922361.45"/>
    <n v="0"/>
    <n v="2922361.45"/>
  </r>
  <r>
    <s v="Новосибирск"/>
    <x v="28"/>
    <s v="Monster Bike 20x"/>
    <n v="4177"/>
    <s v="56900.47"/>
    <n v="2896145"/>
    <n v="2882394.16"/>
    <n v="142251.17499999999"/>
    <n v="2882394.16"/>
    <n v="142251.17499999999"/>
    <n v="2740142.9850000003"/>
  </r>
  <r>
    <s v="Новосибирск"/>
    <x v="28"/>
    <s v="Ninebot Max G30"/>
    <n v="4262"/>
    <s v="59438.61"/>
    <n v="2998266.5"/>
    <n v="2984278.31"/>
    <n v="71326.331999999995"/>
    <n v="2984278.31"/>
    <n v="71326.331999999995"/>
    <n v="2912951.9780000001"/>
  </r>
  <r>
    <s v="Новосибирск"/>
    <x v="28"/>
    <s v="Xiaomi Mi Pro 2"/>
    <n v="4059"/>
    <s v="55486.77"/>
    <n v="2814108"/>
    <n v="2799899.3"/>
    <n v="49938.093000000001"/>
    <n v="2799899.3"/>
    <n v="49938.093000000001"/>
    <n v="2749961.2069999999"/>
  </r>
  <r>
    <s v="Санкт-Петербург"/>
    <x v="28"/>
    <s v="GoPro Hero 11"/>
    <n v="4169"/>
    <s v="56763.57"/>
    <n v="2885138"/>
    <n v="2870214.09"/>
    <n v="0"/>
    <n v="2870214.09"/>
    <n v="0"/>
    <n v="2870214.09"/>
  </r>
  <r>
    <s v="Санкт-Петербург"/>
    <x v="28"/>
    <s v="Monster Bike 20x"/>
    <n v="4097"/>
    <s v="55817.89"/>
    <n v="2853670"/>
    <n v="2840467.43"/>
    <n v="139544.72500000001"/>
    <n v="2840467.43"/>
    <n v="139544.72500000001"/>
    <n v="2700922.7050000001"/>
  </r>
  <r>
    <s v="Санкт-Петербург"/>
    <x v="28"/>
    <s v="Ninebot Max G30"/>
    <n v="4258"/>
    <s v="57843.54"/>
    <n v="2989328"/>
    <n v="2975212.17"/>
    <n v="69412.248000000007"/>
    <n v="2975212.17"/>
    <n v="69412.248000000007"/>
    <n v="2905799.9219999998"/>
  </r>
  <r>
    <s v="Санкт-Петербург"/>
    <x v="28"/>
    <s v="Xiaomi Mi Pro 2"/>
    <n v="4108"/>
    <s v="55539.71"/>
    <n v="2868043.5"/>
    <n v="2854572.36"/>
    <n v="49985.739000000001"/>
    <n v="2854572.36"/>
    <n v="49985.739000000001"/>
    <n v="2804586.6209999998"/>
  </r>
  <r>
    <s v="Екатеринбург"/>
    <x v="29"/>
    <s v="GoPro Hero 11"/>
    <n v="4176"/>
    <s v="56001.60"/>
    <n v="2912012"/>
    <n v="2896560.35"/>
    <n v="0"/>
    <n v="2896560.35"/>
    <n v="0"/>
    <n v="2896560.35"/>
  </r>
  <r>
    <s v="Екатеринбург"/>
    <x v="29"/>
    <s v="Monster Bike 20x"/>
    <n v="4128"/>
    <s v="57231.75"/>
    <n v="2902328.5"/>
    <n v="2888100.56"/>
    <n v="143079.375"/>
    <n v="2888100.56"/>
    <n v="143079.375"/>
    <n v="2745021.1850000001"/>
  </r>
  <r>
    <s v="Екатеринбург"/>
    <x v="29"/>
    <s v="Ninebot Max G30"/>
    <n v="4123"/>
    <s v="56429.87"/>
    <n v="2886340.5"/>
    <n v="2872268.77"/>
    <n v="67715.843999999997"/>
    <n v="2872268.77"/>
    <n v="67715.843999999997"/>
    <n v="2804552.926"/>
  </r>
  <r>
    <s v="Екатеринбург"/>
    <x v="29"/>
    <s v="Xiaomi Mi Pro 2"/>
    <n v="4123"/>
    <s v="56367.24"/>
    <n v="2884846"/>
    <n v="2870552.71"/>
    <n v="50730.516000000003"/>
    <n v="2870552.71"/>
    <n v="50730.516000000003"/>
    <n v="2819822.1940000001"/>
  </r>
  <r>
    <s v="Казань"/>
    <x v="29"/>
    <s v="GoPro Hero 11"/>
    <n v="4098"/>
    <s v="55310.02"/>
    <n v="2828523"/>
    <n v="2813874.67"/>
    <n v="0"/>
    <n v="2813874.67"/>
    <n v="0"/>
    <n v="2813874.67"/>
  </r>
  <r>
    <s v="Казань"/>
    <x v="29"/>
    <s v="Monster Bike 20x"/>
    <n v="4130"/>
    <s v="55417.39"/>
    <n v="2856100"/>
    <n v="2841865.76"/>
    <n v="138543.47500000001"/>
    <n v="2841865.76"/>
    <n v="138543.47500000001"/>
    <n v="2703322.2849999997"/>
  </r>
  <r>
    <s v="Казань"/>
    <x v="29"/>
    <s v="Ninebot Max G30"/>
    <n v="4135"/>
    <s v="56723.14"/>
    <n v="2882769.5"/>
    <n v="2869505.19"/>
    <n v="68067.767999999996"/>
    <n v="2869505.19"/>
    <n v="68067.767999999996"/>
    <n v="2801437.4219999998"/>
  </r>
  <r>
    <s v="Казань"/>
    <x v="29"/>
    <s v="Xiaomi Mi Pro 2"/>
    <n v="4065"/>
    <s v="55427.02"/>
    <n v="2816514.5"/>
    <n v="2802723.79"/>
    <n v="49884.317999999999"/>
    <n v="2802723.79"/>
    <n v="49884.317999999999"/>
    <n v="2752839.4720000001"/>
  </r>
  <r>
    <s v="Москва"/>
    <x v="29"/>
    <s v="GoPro Hero 11"/>
    <n v="4293"/>
    <s v="58046.34"/>
    <n v="2998410.5"/>
    <n v="2984591.07"/>
    <n v="0"/>
    <n v="2984591.07"/>
    <n v="0"/>
    <n v="2984591.07"/>
  </r>
  <r>
    <s v="Москва"/>
    <x v="29"/>
    <s v="Monster Bike 20x"/>
    <n v="4308"/>
    <s v="58644.32"/>
    <n v="3015057.5"/>
    <n v="3000148.45"/>
    <n v="146610.79999999999"/>
    <n v="3000148.45"/>
    <n v="146610.79999999999"/>
    <n v="2853537.6500000004"/>
  </r>
  <r>
    <s v="Москва"/>
    <x v="29"/>
    <s v="Ninebot Max G30"/>
    <n v="4383"/>
    <s v="59823.26"/>
    <n v="3075427.5"/>
    <n v="3060291.04"/>
    <n v="71787.911999999997"/>
    <n v="3060291.04"/>
    <n v="71787.911999999997"/>
    <n v="2988503.128"/>
  </r>
  <r>
    <s v="Москва"/>
    <x v="29"/>
    <s v="Xiaomi Mi Pro 2"/>
    <n v="4104"/>
    <s v="55602.54"/>
    <n v="2823401"/>
    <n v="2808480.44"/>
    <n v="50042.286"/>
    <n v="2808480.44"/>
    <n v="50042.286"/>
    <n v="2758438.1540000001"/>
  </r>
  <r>
    <s v="Новосибирск"/>
    <x v="29"/>
    <s v="GoPro Hero 11"/>
    <n v="4260"/>
    <s v="58610.24"/>
    <n v="2974763.5"/>
    <n v="2960134.36"/>
    <n v="0"/>
    <n v="2960134.36"/>
    <n v="0"/>
    <n v="2960134.36"/>
  </r>
  <r>
    <s v="Новосибирск"/>
    <x v="29"/>
    <s v="Monster Bike 20x"/>
    <n v="4149"/>
    <s v="56681.23"/>
    <n v="2870984"/>
    <n v="2856083.07"/>
    <n v="141703.07500000001"/>
    <n v="2856083.07"/>
    <n v="141703.07500000001"/>
    <n v="2714379.9949999996"/>
  </r>
  <r>
    <s v="Новосибирск"/>
    <x v="29"/>
    <s v="Ninebot Max G30"/>
    <n v="4169"/>
    <s v="56066.76"/>
    <n v="2931273.5"/>
    <n v="2917003.23"/>
    <n v="67280.111999999994"/>
    <n v="2917003.23"/>
    <n v="67280.111999999994"/>
    <n v="2849723.1179999998"/>
  </r>
  <r>
    <s v="Новосибирск"/>
    <x v="29"/>
    <s v="Xiaomi Mi Pro 2"/>
    <n v="3957"/>
    <s v="54251.56"/>
    <n v="2785882"/>
    <n v="2772764.27"/>
    <n v="48826.404000000002"/>
    <n v="2772764.27"/>
    <n v="48826.404000000002"/>
    <n v="2723937.8659999999"/>
  </r>
  <r>
    <s v="Санкт-Петербург"/>
    <x v="29"/>
    <s v="GoPro Hero 11"/>
    <n v="4293"/>
    <s v="58178.57"/>
    <n v="2978029.5"/>
    <n v="2963845.13"/>
    <n v="0"/>
    <n v="2963845.13"/>
    <n v="0"/>
    <n v="2963845.13"/>
  </r>
  <r>
    <s v="Санкт-Петербург"/>
    <x v="29"/>
    <s v="Monster Bike 20x"/>
    <n v="4107"/>
    <s v="55968.30"/>
    <n v="2884240.5"/>
    <n v="2870282.61"/>
    <n v="139920.75"/>
    <n v="2870282.61"/>
    <n v="139920.75"/>
    <n v="2730361.86"/>
  </r>
  <r>
    <s v="Санкт-Петербург"/>
    <x v="29"/>
    <s v="Ninebot Max G30"/>
    <n v="4174"/>
    <s v="56960.26"/>
    <n v="2922832"/>
    <n v="2908143.35"/>
    <n v="68352.312000000005"/>
    <n v="2908143.35"/>
    <n v="68352.312000000005"/>
    <n v="2839791.0380000002"/>
  </r>
  <r>
    <s v="Санкт-Петербург"/>
    <x v="29"/>
    <s v="Xiaomi Mi Pro 2"/>
    <n v="4106"/>
    <s v="55671.71"/>
    <n v="2863768"/>
    <n v="2850122.91"/>
    <n v="50104.538999999997"/>
    <n v="2850122.91"/>
    <n v="50104.538999999997"/>
    <n v="2800018.37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2063C-A5CC-46C2-89DD-FD4A5C28FA2A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5">
  <location ref="A3:E7" firstHeaderRow="0" firstDataRow="1" firstDataCol="1"/>
  <pivotFields count="14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dataField="1" dragToRow="0" dragToCol="0" dragToPage="0" showAll="0" defaultSubtotal="0"/>
  </pivotFields>
  <rowFields count="3">
    <field x="12"/>
    <field x="11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Чистая Выручка" fld="6" baseField="0" baseItem="0"/>
    <dataField name="Сумма по полю Расходы на Ремонт" fld="7" baseField="0" baseItem="0"/>
    <dataField name="Сумма по полю Прогноз Прибыли" fld="10" baseField="0" baseItem="0"/>
    <dataField name="Сумма по полю Базовая Прибыль" fld="13" baseField="0" baseItem="0"/>
  </dataFields>
  <formats count="1">
    <format dxfId="0">
      <pivotArea outline="0" collapsedLevelsAreSubtotals="1" fieldPosition="0"/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84DC6A-ABBF-4BF8-9FFE-8B962BF32402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Город" tableColumnId="1"/>
      <queryTableField id="2" name="Месяц" tableColumnId="2"/>
      <queryTableField id="3" name="Модель Девайса" tableColumnId="3"/>
      <queryTableField id="4" name="Количество Поездок" tableColumnId="4"/>
      <queryTableField id="5" name="Общий Пробег Км" tableColumnId="5"/>
      <queryTableField id="6" name="Валовая Выручка" tableColumnId="6"/>
      <queryTableField id="7" name="Чистая Выручка" tableColumnId="7"/>
      <queryTableField id="8" name="Расходы на Ремонт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3A652-48FA-4252-8493-39621B76AF63}" name="_SELECT_u_city_AS_Город_TO_CHAR_f_rental_start_YYYY_MM_AS_Месяц__202609232054" displayName="_SELECT_u_city_AS_Город_TO_CHAR_f_rental_start_YYYY_MM_AS_Месяц__202609232054" ref="C1:M601" tableType="queryTable" totalsRowShown="0">
  <autoFilter ref="C1:M601" xr:uid="{2B43A652-48FA-4252-8493-39621B76AF63}"/>
  <tableColumns count="11">
    <tableColumn id="1" xr3:uid="{FA61CC18-BBF8-43A9-8890-60818D128079}" uniqueName="1" name="Город" queryTableFieldId="1" dataDxfId="10"/>
    <tableColumn id="2" xr3:uid="{5AF8C9F2-3F29-4CB2-8DBD-A68F905F3A99}" uniqueName="2" name="Месяц" queryTableFieldId="2" dataDxfId="9"/>
    <tableColumn id="3" xr3:uid="{22BF380A-AEFF-459A-8D09-63B7F4E2588F}" uniqueName="3" name="Модель Девайса" queryTableFieldId="3" dataDxfId="8"/>
    <tableColumn id="4" xr3:uid="{7E8AF26F-C750-4BCF-BE08-017595DB4F54}" uniqueName="4" name="Количество Поездок" queryTableFieldId="4"/>
    <tableColumn id="5" xr3:uid="{51AA6219-7123-46F3-9E4E-8B1F130DF68D}" uniqueName="5" name="Общий Пробег Км" queryTableFieldId="5" dataDxfId="7"/>
    <tableColumn id="6" xr3:uid="{1948F4BC-9B1C-49C4-AA6F-C06D81165323}" uniqueName="6" name="Валовая Выручка" queryTableFieldId="6" dataDxfId="6"/>
    <tableColumn id="7" xr3:uid="{44F776A3-6376-4B0E-B484-CD2FF834BB43}" uniqueName="7" name="Чистая Выручка" queryTableFieldId="7" dataDxfId="5"/>
    <tableColumn id="8" xr3:uid="{656739DE-6E7C-44FE-8817-5645D2CBD96F}" uniqueName="8" name="Расходы на Ремонт" queryTableFieldId="8" dataDxfId="4"/>
    <tableColumn id="9" xr3:uid="{8141A107-88F1-4946-BAE2-3C7735210E6A}" uniqueName="9" name="Прогноз Выручки" queryTableFieldId="9" dataDxfId="3">
      <calculatedColumnFormula>_SELECT_u_city_AS_Город_TO_CHAR_f_rental_start_YYYY_MM_AS_Месяц__202609232054[[#This Row],[Чистая Выручка]] * (1 + $B$4)</calculatedColumnFormula>
    </tableColumn>
    <tableColumn id="10" xr3:uid="{B26C6FA3-AD2D-4ACD-9F5D-58E91350A520}" uniqueName="10" name="Прогноз Расходов" queryTableFieldId="10" dataDxfId="2">
      <calculatedColumnFormula>_SELECT_u_city_AS_Город_TO_CHAR_f_rental_start_YYYY_MM_AS_Месяц__202609232054[[#This Row],[Расходы на Ремонт]] * (1 + $B$5)</calculatedColumnFormula>
    </tableColumn>
    <tableColumn id="11" xr3:uid="{948B39B8-807A-42F9-B52B-630EAB92A9DB}" uniqueName="11" name="Прогноз Прибыли" queryTableFieldId="11" dataDxfId="1">
      <calculatedColumnFormula>_SELECT_u_city_AS_Город_TO_CHAR_f_rental_start_YYYY_MM_AS_Месяц__202609232054[[#This Row],[Прогноз Выручки]] - _SELECT_u_city_AS_Город_TO_CHAR_f_rental_start_YYYY_MM_AS_Месяц__202609232054[[#This Row],[Прогноз Расходов]]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627B-5863-4758-BB38-30A63C8BF46E}">
  <dimension ref="A3:E7"/>
  <sheetViews>
    <sheetView tabSelected="1" topLeftCell="C1" zoomScale="95" zoomScaleNormal="95" workbookViewId="0">
      <selection activeCell="E33" sqref="E33"/>
    </sheetView>
  </sheetViews>
  <sheetFormatPr defaultRowHeight="15" x14ac:dyDescent="0.25"/>
  <cols>
    <col min="1" max="1" width="17.28515625" bestFit="1" customWidth="1"/>
    <col min="2" max="2" width="31" bestFit="1" customWidth="1"/>
    <col min="3" max="3" width="34.7109375" bestFit="1" customWidth="1"/>
    <col min="4" max="4" width="33" bestFit="1" customWidth="1"/>
    <col min="5" max="5" width="32.5703125" bestFit="1" customWidth="1"/>
  </cols>
  <sheetData>
    <row r="3" spans="1:5" x14ac:dyDescent="0.25">
      <c r="A3" s="7" t="s">
        <v>623</v>
      </c>
      <c r="B3" t="s">
        <v>628</v>
      </c>
      <c r="C3" t="s">
        <v>629</v>
      </c>
      <c r="D3" t="s">
        <v>630</v>
      </c>
      <c r="E3" t="s">
        <v>631</v>
      </c>
    </row>
    <row r="4" spans="1:5" x14ac:dyDescent="0.25">
      <c r="A4" s="8" t="s">
        <v>625</v>
      </c>
      <c r="B4" s="6">
        <v>693636844.9199996</v>
      </c>
      <c r="C4" s="6">
        <v>15625420.401000004</v>
      </c>
      <c r="D4" s="6">
        <v>678011424.51900029</v>
      </c>
      <c r="E4" s="6">
        <v>678011424.51899958</v>
      </c>
    </row>
    <row r="5" spans="1:5" x14ac:dyDescent="0.25">
      <c r="A5" s="8" t="s">
        <v>626</v>
      </c>
      <c r="B5" s="6">
        <v>694707049.06999981</v>
      </c>
      <c r="C5" s="6">
        <v>15653892.95900001</v>
      </c>
      <c r="D5" s="6">
        <v>679053156.1109997</v>
      </c>
      <c r="E5" s="6">
        <v>679053156.11099982</v>
      </c>
    </row>
    <row r="6" spans="1:5" x14ac:dyDescent="0.25">
      <c r="A6" s="8" t="s">
        <v>627</v>
      </c>
      <c r="B6" s="6">
        <v>347060958.11000019</v>
      </c>
      <c r="C6" s="6">
        <v>7830028.1859999998</v>
      </c>
      <c r="D6" s="6">
        <v>339230929.92399997</v>
      </c>
      <c r="E6" s="6">
        <v>339230929.9240002</v>
      </c>
    </row>
    <row r="7" spans="1:5" x14ac:dyDescent="0.25">
      <c r="A7" s="8" t="s">
        <v>624</v>
      </c>
      <c r="B7" s="6">
        <v>1735404852.0999994</v>
      </c>
      <c r="C7" s="6">
        <v>39109341.546000011</v>
      </c>
      <c r="D7" s="6">
        <v>1696295510.5540001</v>
      </c>
      <c r="E7" s="6">
        <v>1696295510.553998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AC6B-34E3-4DCE-9948-7CF89E4B74BC}">
  <dimension ref="A1:M601"/>
  <sheetViews>
    <sheetView topLeftCell="C2" workbookViewId="0">
      <selection activeCell="K16" sqref="K16"/>
    </sheetView>
  </sheetViews>
  <sheetFormatPr defaultRowHeight="15" x14ac:dyDescent="0.25"/>
  <cols>
    <col min="1" max="1" width="29.7109375" customWidth="1"/>
    <col min="3" max="3" width="16.5703125" bestFit="1" customWidth="1"/>
    <col min="4" max="4" width="10.140625" bestFit="1" customWidth="1"/>
    <col min="5" max="5" width="19" bestFit="1" customWidth="1"/>
    <col min="6" max="6" width="22.42578125" bestFit="1" customWidth="1"/>
    <col min="7" max="7" width="20.28515625" bestFit="1" customWidth="1"/>
    <col min="8" max="8" width="19.140625" bestFit="1" customWidth="1"/>
    <col min="9" max="9" width="17.85546875" bestFit="1" customWidth="1"/>
    <col min="10" max="10" width="21.5703125" bestFit="1" customWidth="1"/>
    <col min="11" max="11" width="21.5703125" customWidth="1"/>
    <col min="12" max="12" width="19.5703125" customWidth="1"/>
    <col min="13" max="13" width="19.7109375" customWidth="1"/>
  </cols>
  <sheetData>
    <row r="1" spans="1:13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620</v>
      </c>
      <c r="L1" t="s">
        <v>621</v>
      </c>
      <c r="M1" t="s">
        <v>622</v>
      </c>
    </row>
    <row r="2" spans="1:13" x14ac:dyDescent="0.25">
      <c r="A2" s="3" t="s">
        <v>617</v>
      </c>
      <c r="C2" s="1" t="s">
        <v>8</v>
      </c>
      <c r="D2" s="2">
        <v>45292</v>
      </c>
      <c r="E2" s="1" t="s">
        <v>9</v>
      </c>
      <c r="F2">
        <v>4218</v>
      </c>
      <c r="G2" s="1" t="s">
        <v>10</v>
      </c>
      <c r="H2" s="1">
        <v>2924906</v>
      </c>
      <c r="I2" s="1">
        <v>2908884.36</v>
      </c>
      <c r="J2" s="1">
        <v>0</v>
      </c>
      <c r="K2" s="1">
        <f>_SELECT_u_city_AS_Город_TO_CHAR_f_rental_start_YYYY_MM_AS_Месяц__202609232054[[#This Row],[Чистая Выручка]] * (1 + $B$4)</f>
        <v>2908884.36</v>
      </c>
      <c r="L2" s="1">
        <f>_SELECT_u_city_AS_Город_TO_CHAR_f_rental_start_YYYY_MM_AS_Месяц__202609232054[[#This Row],[Расходы на Ремонт]] * (1 + $B$5)</f>
        <v>0</v>
      </c>
      <c r="M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2908884.36</v>
      </c>
    </row>
    <row r="3" spans="1:13" x14ac:dyDescent="0.25">
      <c r="C3" s="1" t="s">
        <v>8</v>
      </c>
      <c r="D3" s="2">
        <v>45292</v>
      </c>
      <c r="E3" s="1" t="s">
        <v>11</v>
      </c>
      <c r="F3">
        <v>4027</v>
      </c>
      <c r="G3" s="1" t="s">
        <v>12</v>
      </c>
      <c r="H3" s="1">
        <v>2774622.5</v>
      </c>
      <c r="I3" s="1">
        <v>2761105.44</v>
      </c>
      <c r="J3" s="1">
        <v>135337.82500000001</v>
      </c>
      <c r="K3" s="1">
        <f>_SELECT_u_city_AS_Город_TO_CHAR_f_rental_start_YYYY_MM_AS_Месяц__202609232054[[#This Row],[Чистая Выручка]] * (1 + $B$4)</f>
        <v>2761105.44</v>
      </c>
      <c r="L3" s="1">
        <f>_SELECT_u_city_AS_Город_TO_CHAR_f_rental_start_YYYY_MM_AS_Месяц__202609232054[[#This Row],[Расходы на Ремонт]] * (1 + $B$5)</f>
        <v>135337.82500000001</v>
      </c>
      <c r="M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2625767.6149999998</v>
      </c>
    </row>
    <row r="4" spans="1:13" x14ac:dyDescent="0.25">
      <c r="A4" s="4" t="s">
        <v>618</v>
      </c>
      <c r="B4" s="5">
        <v>0</v>
      </c>
      <c r="C4" s="1" t="s">
        <v>8</v>
      </c>
      <c r="D4" s="2">
        <v>45292</v>
      </c>
      <c r="E4" s="1" t="s">
        <v>13</v>
      </c>
      <c r="F4">
        <v>4254</v>
      </c>
      <c r="G4" s="1" t="s">
        <v>14</v>
      </c>
      <c r="H4" s="1">
        <v>2959224</v>
      </c>
      <c r="I4" s="1">
        <v>2945186.94</v>
      </c>
      <c r="J4" s="1">
        <v>69293.232000000004</v>
      </c>
      <c r="K4" s="1">
        <f>_SELECT_u_city_AS_Город_TO_CHAR_f_rental_start_YYYY_MM_AS_Месяц__202609232054[[#This Row],[Чистая Выручка]] * (1 + $B$4)</f>
        <v>2945186.94</v>
      </c>
      <c r="L4" s="1">
        <f>_SELECT_u_city_AS_Город_TO_CHAR_f_rental_start_YYYY_MM_AS_Месяц__202609232054[[#This Row],[Расходы на Ремонт]] * (1 + $B$5)</f>
        <v>69293.232000000004</v>
      </c>
      <c r="M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2875893.7080000001</v>
      </c>
    </row>
    <row r="5" spans="1:13" x14ac:dyDescent="0.25">
      <c r="A5" s="4" t="s">
        <v>619</v>
      </c>
      <c r="B5" s="5">
        <v>0</v>
      </c>
      <c r="C5" s="1" t="s">
        <v>8</v>
      </c>
      <c r="D5" s="2">
        <v>45292</v>
      </c>
      <c r="E5" s="1" t="s">
        <v>15</v>
      </c>
      <c r="F5">
        <v>4052</v>
      </c>
      <c r="G5" s="1" t="s">
        <v>16</v>
      </c>
      <c r="H5" s="1">
        <v>2841393.5</v>
      </c>
      <c r="I5" s="1">
        <v>2826412.54</v>
      </c>
      <c r="J5" s="1">
        <v>49417.514999999999</v>
      </c>
      <c r="K5" s="1">
        <f>_SELECT_u_city_AS_Город_TO_CHAR_f_rental_start_YYYY_MM_AS_Месяц__202609232054[[#This Row],[Чистая Выручка]] * (1 + $B$4)</f>
        <v>2826412.54</v>
      </c>
      <c r="L5" s="1">
        <f>_SELECT_u_city_AS_Город_TO_CHAR_f_rental_start_YYYY_MM_AS_Месяц__202609232054[[#This Row],[Расходы на Ремонт]] * (1 + $B$5)</f>
        <v>49417.514999999999</v>
      </c>
      <c r="M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2776995.0249999999</v>
      </c>
    </row>
    <row r="6" spans="1:13" x14ac:dyDescent="0.25">
      <c r="C6" s="1" t="s">
        <v>17</v>
      </c>
      <c r="D6" s="2">
        <v>45292</v>
      </c>
      <c r="E6" s="1" t="s">
        <v>9</v>
      </c>
      <c r="F6">
        <v>4135</v>
      </c>
      <c r="G6" s="1" t="s">
        <v>18</v>
      </c>
      <c r="H6" s="1">
        <v>2878980.5</v>
      </c>
      <c r="I6" s="1">
        <v>2865737.32</v>
      </c>
      <c r="J6" s="1">
        <v>0</v>
      </c>
      <c r="K6" s="1">
        <f>_SELECT_u_city_AS_Город_TO_CHAR_f_rental_start_YYYY_MM_AS_Месяц__202609232054[[#This Row],[Чистая Выручка]] * (1 + $B$4)</f>
        <v>2865737.32</v>
      </c>
      <c r="L6" s="1">
        <f>_SELECT_u_city_AS_Город_TO_CHAR_f_rental_start_YYYY_MM_AS_Месяц__202609232054[[#This Row],[Расходы на Ремонт]] * (1 + $B$5)</f>
        <v>0</v>
      </c>
      <c r="M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2865737.32</v>
      </c>
    </row>
    <row r="7" spans="1:13" x14ac:dyDescent="0.25">
      <c r="C7" s="1" t="s">
        <v>17</v>
      </c>
      <c r="D7" s="2">
        <v>45292</v>
      </c>
      <c r="E7" s="1" t="s">
        <v>11</v>
      </c>
      <c r="F7">
        <v>4047</v>
      </c>
      <c r="G7" s="1" t="s">
        <v>19</v>
      </c>
      <c r="H7" s="1">
        <v>2815824</v>
      </c>
      <c r="I7" s="1">
        <v>2802208.82</v>
      </c>
      <c r="J7" s="1">
        <v>138853.9</v>
      </c>
      <c r="K7" s="1">
        <f>_SELECT_u_city_AS_Город_TO_CHAR_f_rental_start_YYYY_MM_AS_Месяц__202609232054[[#This Row],[Чистая Выручка]] * (1 + $B$4)</f>
        <v>2802208.82</v>
      </c>
      <c r="L7" s="1">
        <f>_SELECT_u_city_AS_Город_TO_CHAR_f_rental_start_YYYY_MM_AS_Месяц__202609232054[[#This Row],[Расходы на Ремонт]] * (1 + $B$5)</f>
        <v>138853.9</v>
      </c>
      <c r="M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2663354.92</v>
      </c>
    </row>
    <row r="8" spans="1:13" x14ac:dyDescent="0.25">
      <c r="C8" s="1" t="s">
        <v>17</v>
      </c>
      <c r="D8" s="2">
        <v>45292</v>
      </c>
      <c r="E8" s="1" t="s">
        <v>13</v>
      </c>
      <c r="F8">
        <v>4253</v>
      </c>
      <c r="G8" s="1" t="s">
        <v>20</v>
      </c>
      <c r="H8" s="1">
        <v>2989701</v>
      </c>
      <c r="I8" s="1">
        <v>2973783.33</v>
      </c>
      <c r="J8" s="1">
        <v>69936.611999999994</v>
      </c>
      <c r="K8" s="1">
        <f>_SELECT_u_city_AS_Город_TO_CHAR_f_rental_start_YYYY_MM_AS_Месяц__202609232054[[#This Row],[Чистая Выручка]] * (1 + $B$4)</f>
        <v>2973783.33</v>
      </c>
      <c r="L8" s="1">
        <f>_SELECT_u_city_AS_Город_TO_CHAR_f_rental_start_YYYY_MM_AS_Месяц__202609232054[[#This Row],[Расходы на Ремонт]] * (1 + $B$5)</f>
        <v>69936.611999999994</v>
      </c>
      <c r="M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2903846.7179999999</v>
      </c>
    </row>
    <row r="9" spans="1:13" x14ac:dyDescent="0.25">
      <c r="C9" s="1" t="s">
        <v>17</v>
      </c>
      <c r="D9" s="2">
        <v>45292</v>
      </c>
      <c r="E9" s="1" t="s">
        <v>15</v>
      </c>
      <c r="F9">
        <v>4077</v>
      </c>
      <c r="G9" s="1" t="s">
        <v>21</v>
      </c>
      <c r="H9" s="1">
        <v>2841875.5</v>
      </c>
      <c r="I9" s="1">
        <v>2827414.89</v>
      </c>
      <c r="J9" s="1">
        <v>49916.178</v>
      </c>
      <c r="K9" s="1">
        <f>_SELECT_u_city_AS_Город_TO_CHAR_f_rental_start_YYYY_MM_AS_Месяц__202609232054[[#This Row],[Чистая Выручка]] * (1 + $B$4)</f>
        <v>2827414.89</v>
      </c>
      <c r="L9" s="1">
        <f>_SELECT_u_city_AS_Город_TO_CHAR_f_rental_start_YYYY_MM_AS_Месяц__202609232054[[#This Row],[Расходы на Ремонт]] * (1 + $B$5)</f>
        <v>49916.178</v>
      </c>
      <c r="M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2777498.7120000003</v>
      </c>
    </row>
    <row r="10" spans="1:13" x14ac:dyDescent="0.25">
      <c r="C10" s="1" t="s">
        <v>22</v>
      </c>
      <c r="D10" s="2">
        <v>45292</v>
      </c>
      <c r="E10" s="1" t="s">
        <v>9</v>
      </c>
      <c r="F10">
        <v>4263</v>
      </c>
      <c r="G10" s="1" t="s">
        <v>23</v>
      </c>
      <c r="H10" s="1">
        <v>2968752.5</v>
      </c>
      <c r="I10" s="1">
        <v>2954237.83</v>
      </c>
      <c r="J10" s="1">
        <v>0</v>
      </c>
      <c r="K10" s="1">
        <f>_SELECT_u_city_AS_Город_TO_CHAR_f_rental_start_YYYY_MM_AS_Месяц__202609232054[[#This Row],[Чистая Выручка]] * (1 + $B$4)</f>
        <v>2954237.83</v>
      </c>
      <c r="L10" s="1">
        <f>_SELECT_u_city_AS_Город_TO_CHAR_f_rental_start_YYYY_MM_AS_Месяц__202609232054[[#This Row],[Расходы на Ремонт]] * (1 + $B$5)</f>
        <v>0</v>
      </c>
      <c r="M1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2954237.83</v>
      </c>
    </row>
    <row r="11" spans="1:13" x14ac:dyDescent="0.25">
      <c r="C11" s="1" t="s">
        <v>22</v>
      </c>
      <c r="D11" s="2">
        <v>45292</v>
      </c>
      <c r="E11" s="1" t="s">
        <v>11</v>
      </c>
      <c r="F11">
        <v>4224</v>
      </c>
      <c r="G11" s="1" t="s">
        <v>24</v>
      </c>
      <c r="H11" s="1">
        <v>2957882.5</v>
      </c>
      <c r="I11" s="1">
        <v>2943455.83</v>
      </c>
      <c r="J11" s="1">
        <v>144545</v>
      </c>
      <c r="K11" s="1">
        <f>_SELECT_u_city_AS_Город_TO_CHAR_f_rental_start_YYYY_MM_AS_Месяц__202609232054[[#This Row],[Чистая Выручка]] * (1 + $B$4)</f>
        <v>2943455.83</v>
      </c>
      <c r="L11" s="1">
        <f>_SELECT_u_city_AS_Город_TO_CHAR_f_rental_start_YYYY_MM_AS_Месяц__202609232054[[#This Row],[Расходы на Ремонт]] * (1 + $B$5)</f>
        <v>144545</v>
      </c>
      <c r="M1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2798910.83</v>
      </c>
    </row>
    <row r="12" spans="1:13" x14ac:dyDescent="0.25">
      <c r="C12" s="1" t="s">
        <v>22</v>
      </c>
      <c r="D12" s="2">
        <v>45292</v>
      </c>
      <c r="E12" s="1" t="s">
        <v>13</v>
      </c>
      <c r="F12">
        <v>4237</v>
      </c>
      <c r="G12" s="1" t="s">
        <v>25</v>
      </c>
      <c r="H12" s="1">
        <v>2969284</v>
      </c>
      <c r="I12" s="1">
        <v>2954833.02</v>
      </c>
      <c r="J12" s="1">
        <v>70079.592000000004</v>
      </c>
      <c r="K12" s="1">
        <f>_SELECT_u_city_AS_Город_TO_CHAR_f_rental_start_YYYY_MM_AS_Месяц__202609232054[[#This Row],[Чистая Выручка]] * (1 + $B$4)</f>
        <v>2954833.02</v>
      </c>
      <c r="L12" s="1">
        <f>_SELECT_u_city_AS_Город_TO_CHAR_f_rental_start_YYYY_MM_AS_Месяц__202609232054[[#This Row],[Расходы на Ремонт]] * (1 + $B$5)</f>
        <v>70079.592000000004</v>
      </c>
      <c r="M1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2884753.4279999998</v>
      </c>
    </row>
    <row r="13" spans="1:13" x14ac:dyDescent="0.25">
      <c r="C13" s="1" t="s">
        <v>22</v>
      </c>
      <c r="D13" s="2">
        <v>45292</v>
      </c>
      <c r="E13" s="1" t="s">
        <v>15</v>
      </c>
      <c r="F13">
        <v>4152</v>
      </c>
      <c r="G13" s="1" t="s">
        <v>26</v>
      </c>
      <c r="H13" s="1">
        <v>2922852.5</v>
      </c>
      <c r="I13" s="1">
        <v>2910266.74</v>
      </c>
      <c r="J13" s="1">
        <v>51640.695</v>
      </c>
      <c r="K13" s="1">
        <f>_SELECT_u_city_AS_Город_TO_CHAR_f_rental_start_YYYY_MM_AS_Месяц__202609232054[[#This Row],[Чистая Выручка]] * (1 + $B$4)</f>
        <v>2910266.74</v>
      </c>
      <c r="L13" s="1">
        <f>_SELECT_u_city_AS_Город_TO_CHAR_f_rental_start_YYYY_MM_AS_Месяц__202609232054[[#This Row],[Расходы на Ремонт]] * (1 + $B$5)</f>
        <v>51640.695</v>
      </c>
      <c r="M1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2858626.0450000004</v>
      </c>
    </row>
    <row r="14" spans="1:13" x14ac:dyDescent="0.25">
      <c r="C14" s="1" t="s">
        <v>27</v>
      </c>
      <c r="D14" s="2">
        <v>45292</v>
      </c>
      <c r="E14" s="1" t="s">
        <v>9</v>
      </c>
      <c r="F14">
        <v>4247</v>
      </c>
      <c r="G14" s="1" t="s">
        <v>28</v>
      </c>
      <c r="H14" s="1">
        <v>2951384.5</v>
      </c>
      <c r="I14" s="1">
        <v>2937640.78</v>
      </c>
      <c r="J14" s="1">
        <v>0</v>
      </c>
      <c r="K14" s="1">
        <f>_SELECT_u_city_AS_Город_TO_CHAR_f_rental_start_YYYY_MM_AS_Месяц__202609232054[[#This Row],[Чистая Выручка]] * (1 + $B$4)</f>
        <v>2937640.78</v>
      </c>
      <c r="L14" s="1">
        <f>_SELECT_u_city_AS_Город_TO_CHAR_f_rental_start_YYYY_MM_AS_Месяц__202609232054[[#This Row],[Расходы на Ремонт]] * (1 + $B$5)</f>
        <v>0</v>
      </c>
      <c r="M1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2937640.78</v>
      </c>
    </row>
    <row r="15" spans="1:13" x14ac:dyDescent="0.25">
      <c r="C15" s="1" t="s">
        <v>27</v>
      </c>
      <c r="D15" s="2">
        <v>45292</v>
      </c>
      <c r="E15" s="1" t="s">
        <v>11</v>
      </c>
      <c r="F15">
        <v>4215</v>
      </c>
      <c r="G15" s="1" t="s">
        <v>29</v>
      </c>
      <c r="H15" s="1">
        <v>2974253.5</v>
      </c>
      <c r="I15" s="1">
        <v>2961006.63</v>
      </c>
      <c r="J15" s="1">
        <v>145481.07500000001</v>
      </c>
      <c r="K15" s="1">
        <f>_SELECT_u_city_AS_Город_TO_CHAR_f_rental_start_YYYY_MM_AS_Месяц__202609232054[[#This Row],[Чистая Выручка]] * (1 + $B$4)</f>
        <v>2961006.63</v>
      </c>
      <c r="L15" s="1">
        <f>_SELECT_u_city_AS_Город_TO_CHAR_f_rental_start_YYYY_MM_AS_Месяц__202609232054[[#This Row],[Расходы на Ремонт]] * (1 + $B$5)</f>
        <v>145481.07500000001</v>
      </c>
      <c r="M1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2815525.5549999997</v>
      </c>
    </row>
    <row r="16" spans="1:13" x14ac:dyDescent="0.25">
      <c r="C16" s="1" t="s">
        <v>27</v>
      </c>
      <c r="D16" s="2">
        <v>45292</v>
      </c>
      <c r="E16" s="1" t="s">
        <v>13</v>
      </c>
      <c r="F16">
        <v>4171</v>
      </c>
      <c r="G16" s="1" t="s">
        <v>30</v>
      </c>
      <c r="H16" s="1">
        <v>2885011</v>
      </c>
      <c r="I16" s="1">
        <v>2871136.38</v>
      </c>
      <c r="J16" s="1">
        <v>68051.532000000007</v>
      </c>
      <c r="K16" s="1">
        <f>_SELECT_u_city_AS_Город_TO_CHAR_f_rental_start_YYYY_MM_AS_Месяц__202609232054[[#This Row],[Чистая Выручка]] * (1 + $B$4)</f>
        <v>2871136.38</v>
      </c>
      <c r="L16" s="1">
        <f>_SELECT_u_city_AS_Город_TO_CHAR_f_rental_start_YYYY_MM_AS_Месяц__202609232054[[#This Row],[Расходы на Ремонт]] * (1 + $B$5)</f>
        <v>68051.532000000007</v>
      </c>
      <c r="M1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2803084.8479999998</v>
      </c>
    </row>
    <row r="17" spans="3:13" x14ac:dyDescent="0.25">
      <c r="C17" s="1" t="s">
        <v>27</v>
      </c>
      <c r="D17" s="2">
        <v>45292</v>
      </c>
      <c r="E17" s="1" t="s">
        <v>15</v>
      </c>
      <c r="F17">
        <v>4008</v>
      </c>
      <c r="G17" s="1" t="s">
        <v>31</v>
      </c>
      <c r="H17" s="1">
        <v>2807796.5</v>
      </c>
      <c r="I17" s="1">
        <v>2794148.27</v>
      </c>
      <c r="J17" s="1">
        <v>50243.508000000002</v>
      </c>
      <c r="K17" s="1">
        <f>_SELECT_u_city_AS_Город_TO_CHAR_f_rental_start_YYYY_MM_AS_Месяц__202609232054[[#This Row],[Чистая Выручка]] * (1 + $B$4)</f>
        <v>2794148.27</v>
      </c>
      <c r="L17" s="1">
        <f>_SELECT_u_city_AS_Город_TO_CHAR_f_rental_start_YYYY_MM_AS_Месяц__202609232054[[#This Row],[Расходы на Ремонт]] * (1 + $B$5)</f>
        <v>50243.508000000002</v>
      </c>
      <c r="M1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2743904.7620000001</v>
      </c>
    </row>
    <row r="18" spans="3:13" x14ac:dyDescent="0.25">
      <c r="C18" s="1" t="s">
        <v>32</v>
      </c>
      <c r="D18" s="2">
        <v>45292</v>
      </c>
      <c r="E18" s="1" t="s">
        <v>9</v>
      </c>
      <c r="F18">
        <v>4193</v>
      </c>
      <c r="G18" s="1" t="s">
        <v>33</v>
      </c>
      <c r="H18" s="1">
        <v>2898473.5</v>
      </c>
      <c r="I18" s="1">
        <v>2884771.18</v>
      </c>
      <c r="J18" s="1">
        <v>0</v>
      </c>
      <c r="K18" s="1">
        <f>_SELECT_u_city_AS_Город_TO_CHAR_f_rental_start_YYYY_MM_AS_Месяц__202609232054[[#This Row],[Чистая Выручка]] * (1 + $B$4)</f>
        <v>2884771.18</v>
      </c>
      <c r="L18" s="1">
        <f>_SELECT_u_city_AS_Город_TO_CHAR_f_rental_start_YYYY_MM_AS_Месяц__202609232054[[#This Row],[Расходы на Ремонт]] * (1 + $B$5)</f>
        <v>0</v>
      </c>
      <c r="M1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2884771.18</v>
      </c>
    </row>
    <row r="19" spans="3:13" x14ac:dyDescent="0.25">
      <c r="C19" s="1" t="s">
        <v>32</v>
      </c>
      <c r="D19" s="2">
        <v>45292</v>
      </c>
      <c r="E19" s="1" t="s">
        <v>11</v>
      </c>
      <c r="F19">
        <v>4098</v>
      </c>
      <c r="G19" s="1" t="s">
        <v>34</v>
      </c>
      <c r="H19" s="1">
        <v>2853061.5</v>
      </c>
      <c r="I19" s="1">
        <v>2839703.22</v>
      </c>
      <c r="J19" s="1">
        <v>139884.47500000001</v>
      </c>
      <c r="K19" s="1">
        <f>_SELECT_u_city_AS_Город_TO_CHAR_f_rental_start_YYYY_MM_AS_Месяц__202609232054[[#This Row],[Чистая Выручка]] * (1 + $B$4)</f>
        <v>2839703.22</v>
      </c>
      <c r="L19" s="1">
        <f>_SELECT_u_city_AS_Город_TO_CHAR_f_rental_start_YYYY_MM_AS_Месяц__202609232054[[#This Row],[Расходы на Ремонт]] * (1 + $B$5)</f>
        <v>139884.47500000001</v>
      </c>
      <c r="M1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2699818.7450000001</v>
      </c>
    </row>
    <row r="20" spans="3:13" x14ac:dyDescent="0.25">
      <c r="C20" s="1" t="s">
        <v>32</v>
      </c>
      <c r="D20" s="2">
        <v>45292</v>
      </c>
      <c r="E20" s="1" t="s">
        <v>13</v>
      </c>
      <c r="F20">
        <v>4125</v>
      </c>
      <c r="G20" s="1" t="s">
        <v>35</v>
      </c>
      <c r="H20" s="1">
        <v>2905345</v>
      </c>
      <c r="I20" s="1">
        <v>2890134.21</v>
      </c>
      <c r="J20" s="1">
        <v>68395.452000000005</v>
      </c>
      <c r="K20" s="1">
        <f>_SELECT_u_city_AS_Город_TO_CHAR_f_rental_start_YYYY_MM_AS_Месяц__202609232054[[#This Row],[Чистая Выручка]] * (1 + $B$4)</f>
        <v>2890134.21</v>
      </c>
      <c r="L20" s="1">
        <f>_SELECT_u_city_AS_Город_TO_CHAR_f_rental_start_YYYY_MM_AS_Месяц__202609232054[[#This Row],[Расходы на Ремонт]] * (1 + $B$5)</f>
        <v>68395.452000000005</v>
      </c>
      <c r="M2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2821738.7579999999</v>
      </c>
    </row>
    <row r="21" spans="3:13" x14ac:dyDescent="0.25">
      <c r="C21" s="1" t="s">
        <v>32</v>
      </c>
      <c r="D21" s="2">
        <v>45292</v>
      </c>
      <c r="E21" s="1" t="s">
        <v>15</v>
      </c>
      <c r="F21">
        <v>4043</v>
      </c>
      <c r="G21" s="1" t="s">
        <v>36</v>
      </c>
      <c r="H21" s="1">
        <v>2870558.5</v>
      </c>
      <c r="I21" s="1">
        <v>2856535.22</v>
      </c>
      <c r="J21" s="1">
        <v>50899.887000000002</v>
      </c>
      <c r="K21" s="1">
        <f>_SELECT_u_city_AS_Город_TO_CHAR_f_rental_start_YYYY_MM_AS_Месяц__202609232054[[#This Row],[Чистая Выручка]] * (1 + $B$4)</f>
        <v>2856535.22</v>
      </c>
      <c r="L21" s="1">
        <f>_SELECT_u_city_AS_Город_TO_CHAR_f_rental_start_YYYY_MM_AS_Месяц__202609232054[[#This Row],[Расходы на Ремонт]] * (1 + $B$5)</f>
        <v>50899.887000000002</v>
      </c>
      <c r="M2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2805635.3330000001</v>
      </c>
    </row>
    <row r="22" spans="3:13" x14ac:dyDescent="0.25">
      <c r="C22" s="1" t="s">
        <v>8</v>
      </c>
      <c r="D22" s="2">
        <v>45323</v>
      </c>
      <c r="E22" s="1" t="s">
        <v>9</v>
      </c>
      <c r="F22">
        <v>4085</v>
      </c>
      <c r="G22" s="1" t="s">
        <v>37</v>
      </c>
      <c r="H22" s="1">
        <v>2861017</v>
      </c>
      <c r="I22" s="1">
        <v>2846192.61</v>
      </c>
      <c r="J22" s="1">
        <v>0</v>
      </c>
      <c r="K22" s="1">
        <f>_SELECT_u_city_AS_Город_TO_CHAR_f_rental_start_YYYY_MM_AS_Месяц__202609232054[[#This Row],[Чистая Выручка]] * (1 + $B$4)</f>
        <v>2846192.61</v>
      </c>
      <c r="L22" s="1">
        <f>_SELECT_u_city_AS_Город_TO_CHAR_f_rental_start_YYYY_MM_AS_Месяц__202609232054[[#This Row],[Расходы на Ремонт]] * (1 + $B$5)</f>
        <v>0</v>
      </c>
      <c r="M2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2846192.61</v>
      </c>
    </row>
    <row r="23" spans="3:13" x14ac:dyDescent="0.25">
      <c r="C23" s="1" t="s">
        <v>8</v>
      </c>
      <c r="D23" s="2">
        <v>45323</v>
      </c>
      <c r="E23" s="1" t="s">
        <v>11</v>
      </c>
      <c r="F23">
        <v>4045</v>
      </c>
      <c r="G23" s="1" t="s">
        <v>38</v>
      </c>
      <c r="H23" s="1">
        <v>2843934</v>
      </c>
      <c r="I23" s="1">
        <v>2831079.04</v>
      </c>
      <c r="J23" s="1">
        <v>137967.25</v>
      </c>
      <c r="K23" s="1">
        <f>_SELECT_u_city_AS_Город_TO_CHAR_f_rental_start_YYYY_MM_AS_Месяц__202609232054[[#This Row],[Чистая Выручка]] * (1 + $B$4)</f>
        <v>2831079.04</v>
      </c>
      <c r="L23" s="1">
        <f>_SELECT_u_city_AS_Город_TO_CHAR_f_rental_start_YYYY_MM_AS_Месяц__202609232054[[#This Row],[Расходы на Ремонт]] * (1 + $B$5)</f>
        <v>137967.25</v>
      </c>
      <c r="M2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2693111.79</v>
      </c>
    </row>
    <row r="24" spans="3:13" x14ac:dyDescent="0.25">
      <c r="C24" s="1" t="s">
        <v>8</v>
      </c>
      <c r="D24" s="2">
        <v>45323</v>
      </c>
      <c r="E24" s="1" t="s">
        <v>13</v>
      </c>
      <c r="F24">
        <v>4149</v>
      </c>
      <c r="G24" s="1" t="s">
        <v>39</v>
      </c>
      <c r="H24" s="1">
        <v>2911804.5</v>
      </c>
      <c r="I24" s="1">
        <v>2897517.78</v>
      </c>
      <c r="J24" s="1">
        <v>68395.872000000003</v>
      </c>
      <c r="K24" s="1">
        <f>_SELECT_u_city_AS_Город_TO_CHAR_f_rental_start_YYYY_MM_AS_Месяц__202609232054[[#This Row],[Чистая Выручка]] * (1 + $B$4)</f>
        <v>2897517.78</v>
      </c>
      <c r="L24" s="1">
        <f>_SELECT_u_city_AS_Город_TO_CHAR_f_rental_start_YYYY_MM_AS_Месяц__202609232054[[#This Row],[Расходы на Ремонт]] * (1 + $B$5)</f>
        <v>68395.872000000003</v>
      </c>
      <c r="M2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2829121.9079999998</v>
      </c>
    </row>
    <row r="25" spans="3:13" x14ac:dyDescent="0.25">
      <c r="C25" s="1" t="s">
        <v>8</v>
      </c>
      <c r="D25" s="2">
        <v>45323</v>
      </c>
      <c r="E25" s="1" t="s">
        <v>15</v>
      </c>
      <c r="F25">
        <v>4023</v>
      </c>
      <c r="G25" s="1" t="s">
        <v>40</v>
      </c>
      <c r="H25" s="1">
        <v>2807028</v>
      </c>
      <c r="I25" s="1">
        <v>2793247.56</v>
      </c>
      <c r="J25" s="1">
        <v>49177.466999999997</v>
      </c>
      <c r="K25" s="1">
        <f>_SELECT_u_city_AS_Город_TO_CHAR_f_rental_start_YYYY_MM_AS_Месяц__202609232054[[#This Row],[Чистая Выручка]] * (1 + $B$4)</f>
        <v>2793247.56</v>
      </c>
      <c r="L25" s="1">
        <f>_SELECT_u_city_AS_Город_TO_CHAR_f_rental_start_YYYY_MM_AS_Месяц__202609232054[[#This Row],[Расходы на Ремонт]] * (1 + $B$5)</f>
        <v>49177.466999999997</v>
      </c>
      <c r="M2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2744070.0929999999</v>
      </c>
    </row>
    <row r="26" spans="3:13" x14ac:dyDescent="0.25">
      <c r="C26" s="1" t="s">
        <v>17</v>
      </c>
      <c r="D26" s="2">
        <v>45323</v>
      </c>
      <c r="E26" s="1" t="s">
        <v>9</v>
      </c>
      <c r="F26">
        <v>4033</v>
      </c>
      <c r="G26" s="1" t="s">
        <v>41</v>
      </c>
      <c r="H26" s="1">
        <v>2834321</v>
      </c>
      <c r="I26" s="1">
        <v>2821094.41</v>
      </c>
      <c r="J26" s="1">
        <v>0</v>
      </c>
      <c r="K26" s="1">
        <f>_SELECT_u_city_AS_Город_TO_CHAR_f_rental_start_YYYY_MM_AS_Месяц__202609232054[[#This Row],[Чистая Выручка]] * (1 + $B$4)</f>
        <v>2821094.41</v>
      </c>
      <c r="L26" s="1">
        <f>_SELECT_u_city_AS_Город_TO_CHAR_f_rental_start_YYYY_MM_AS_Месяц__202609232054[[#This Row],[Расходы на Ремонт]] * (1 + $B$5)</f>
        <v>0</v>
      </c>
      <c r="M2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2821094.41</v>
      </c>
    </row>
    <row r="27" spans="3:13" x14ac:dyDescent="0.25">
      <c r="C27" s="1" t="s">
        <v>17</v>
      </c>
      <c r="D27" s="2">
        <v>45323</v>
      </c>
      <c r="E27" s="1" t="s">
        <v>11</v>
      </c>
      <c r="F27">
        <v>4138</v>
      </c>
      <c r="G27" s="1" t="s">
        <v>42</v>
      </c>
      <c r="H27" s="1">
        <v>2897941.5</v>
      </c>
      <c r="I27" s="1">
        <v>2883722.61</v>
      </c>
      <c r="J27" s="1">
        <v>141369.32500000001</v>
      </c>
      <c r="K27" s="1">
        <f>_SELECT_u_city_AS_Город_TO_CHAR_f_rental_start_YYYY_MM_AS_Месяц__202609232054[[#This Row],[Чистая Выручка]] * (1 + $B$4)</f>
        <v>2883722.61</v>
      </c>
      <c r="L27" s="1">
        <f>_SELECT_u_city_AS_Город_TO_CHAR_f_rental_start_YYYY_MM_AS_Месяц__202609232054[[#This Row],[Расходы на Ремонт]] * (1 + $B$5)</f>
        <v>141369.32500000001</v>
      </c>
      <c r="M2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2742353.2849999997</v>
      </c>
    </row>
    <row r="28" spans="3:13" x14ac:dyDescent="0.25">
      <c r="C28" s="1" t="s">
        <v>17</v>
      </c>
      <c r="D28" s="2">
        <v>45323</v>
      </c>
      <c r="E28" s="1" t="s">
        <v>13</v>
      </c>
      <c r="F28">
        <v>4065</v>
      </c>
      <c r="G28" s="1" t="s">
        <v>43</v>
      </c>
      <c r="H28" s="1">
        <v>2821424.5</v>
      </c>
      <c r="I28" s="1">
        <v>2807689.63</v>
      </c>
      <c r="J28" s="1">
        <v>65726.399999999994</v>
      </c>
      <c r="K28" s="1">
        <f>_SELECT_u_city_AS_Город_TO_CHAR_f_rental_start_YYYY_MM_AS_Месяц__202609232054[[#This Row],[Чистая Выручка]] * (1 + $B$4)</f>
        <v>2807689.63</v>
      </c>
      <c r="L28" s="1">
        <f>_SELECT_u_city_AS_Город_TO_CHAR_f_rental_start_YYYY_MM_AS_Месяц__202609232054[[#This Row],[Расходы на Ремонт]] * (1 + $B$5)</f>
        <v>65726.399999999994</v>
      </c>
      <c r="M2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2741963.23</v>
      </c>
    </row>
    <row r="29" spans="3:13" x14ac:dyDescent="0.25">
      <c r="C29" s="1" t="s">
        <v>17</v>
      </c>
      <c r="D29" s="2">
        <v>45323</v>
      </c>
      <c r="E29" s="1" t="s">
        <v>15</v>
      </c>
      <c r="F29">
        <v>3978</v>
      </c>
      <c r="G29" s="1" t="s">
        <v>44</v>
      </c>
      <c r="H29" s="1">
        <v>2766635.5</v>
      </c>
      <c r="I29" s="1">
        <v>2753004.42</v>
      </c>
      <c r="J29" s="1">
        <v>48466.574999999997</v>
      </c>
      <c r="K29" s="1">
        <f>_SELECT_u_city_AS_Город_TO_CHAR_f_rental_start_YYYY_MM_AS_Месяц__202609232054[[#This Row],[Чистая Выручка]] * (1 + $B$4)</f>
        <v>2753004.42</v>
      </c>
      <c r="L29" s="1">
        <f>_SELECT_u_city_AS_Город_TO_CHAR_f_rental_start_YYYY_MM_AS_Месяц__202609232054[[#This Row],[Расходы на Ремонт]] * (1 + $B$5)</f>
        <v>48466.574999999997</v>
      </c>
      <c r="M2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2704537.8449999997</v>
      </c>
    </row>
    <row r="30" spans="3:13" x14ac:dyDescent="0.25">
      <c r="C30" s="1" t="s">
        <v>22</v>
      </c>
      <c r="D30" s="2">
        <v>45323</v>
      </c>
      <c r="E30" s="1" t="s">
        <v>9</v>
      </c>
      <c r="F30">
        <v>4066</v>
      </c>
      <c r="G30" s="1" t="s">
        <v>45</v>
      </c>
      <c r="H30" s="1">
        <v>2831086.5</v>
      </c>
      <c r="I30" s="1">
        <v>2817909.67</v>
      </c>
      <c r="J30" s="1">
        <v>0</v>
      </c>
      <c r="K30" s="1">
        <f>_SELECT_u_city_AS_Город_TO_CHAR_f_rental_start_YYYY_MM_AS_Месяц__202609232054[[#This Row],[Чистая Выручка]] * (1 + $B$4)</f>
        <v>2817909.67</v>
      </c>
      <c r="L30" s="1">
        <f>_SELECT_u_city_AS_Город_TO_CHAR_f_rental_start_YYYY_MM_AS_Месяц__202609232054[[#This Row],[Расходы на Ремонт]] * (1 + $B$5)</f>
        <v>0</v>
      </c>
      <c r="M3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2817909.67</v>
      </c>
    </row>
    <row r="31" spans="3:13" x14ac:dyDescent="0.25">
      <c r="C31" s="1" t="s">
        <v>22</v>
      </c>
      <c r="D31" s="2">
        <v>45323</v>
      </c>
      <c r="E31" s="1" t="s">
        <v>11</v>
      </c>
      <c r="F31">
        <v>4142</v>
      </c>
      <c r="G31" s="1" t="s">
        <v>46</v>
      </c>
      <c r="H31" s="1">
        <v>2899771.5</v>
      </c>
      <c r="I31" s="1">
        <v>2885607</v>
      </c>
      <c r="J31" s="1">
        <v>141849.35</v>
      </c>
      <c r="K31" s="1">
        <f>_SELECT_u_city_AS_Город_TO_CHAR_f_rental_start_YYYY_MM_AS_Месяц__202609232054[[#This Row],[Чистая Выручка]] * (1 + $B$4)</f>
        <v>2885607</v>
      </c>
      <c r="L31" s="1">
        <f>_SELECT_u_city_AS_Город_TO_CHAR_f_rental_start_YYYY_MM_AS_Месяц__202609232054[[#This Row],[Расходы на Ремонт]] * (1 + $B$5)</f>
        <v>141849.35</v>
      </c>
      <c r="M3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2743757.65</v>
      </c>
    </row>
    <row r="32" spans="3:13" x14ac:dyDescent="0.25">
      <c r="C32" s="1" t="s">
        <v>22</v>
      </c>
      <c r="D32" s="2">
        <v>45323</v>
      </c>
      <c r="E32" s="1" t="s">
        <v>13</v>
      </c>
      <c r="F32">
        <v>4102</v>
      </c>
      <c r="G32" s="1" t="s">
        <v>47</v>
      </c>
      <c r="H32" s="1">
        <v>2852550</v>
      </c>
      <c r="I32" s="1">
        <v>2838569.99</v>
      </c>
      <c r="J32" s="1">
        <v>66993.504000000001</v>
      </c>
      <c r="K32" s="1">
        <f>_SELECT_u_city_AS_Город_TO_CHAR_f_rental_start_YYYY_MM_AS_Месяц__202609232054[[#This Row],[Чистая Выручка]] * (1 + $B$4)</f>
        <v>2838569.99</v>
      </c>
      <c r="L32" s="1">
        <f>_SELECT_u_city_AS_Город_TO_CHAR_f_rental_start_YYYY_MM_AS_Месяц__202609232054[[#This Row],[Расходы на Ремонт]] * (1 + $B$5)</f>
        <v>66993.504000000001</v>
      </c>
      <c r="M3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2771576.486</v>
      </c>
    </row>
    <row r="33" spans="3:13" x14ac:dyDescent="0.25">
      <c r="C33" s="1" t="s">
        <v>22</v>
      </c>
      <c r="D33" s="2">
        <v>45323</v>
      </c>
      <c r="E33" s="1" t="s">
        <v>15</v>
      </c>
      <c r="F33">
        <v>4064</v>
      </c>
      <c r="G33" s="1" t="s">
        <v>48</v>
      </c>
      <c r="H33" s="1">
        <v>2818295</v>
      </c>
      <c r="I33" s="1">
        <v>2804708.56</v>
      </c>
      <c r="J33" s="1">
        <v>49750.307999999997</v>
      </c>
      <c r="K33" s="1">
        <f>_SELECT_u_city_AS_Город_TO_CHAR_f_rental_start_YYYY_MM_AS_Месяц__202609232054[[#This Row],[Чистая Выручка]] * (1 + $B$4)</f>
        <v>2804708.56</v>
      </c>
      <c r="L33" s="1">
        <f>_SELECT_u_city_AS_Город_TO_CHAR_f_rental_start_YYYY_MM_AS_Месяц__202609232054[[#This Row],[Расходы на Ремонт]] * (1 + $B$5)</f>
        <v>49750.307999999997</v>
      </c>
      <c r="M3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2754958.2519999999</v>
      </c>
    </row>
    <row r="34" spans="3:13" x14ac:dyDescent="0.25">
      <c r="C34" s="1" t="s">
        <v>27</v>
      </c>
      <c r="D34" s="2">
        <v>45323</v>
      </c>
      <c r="E34" s="1" t="s">
        <v>9</v>
      </c>
      <c r="F34">
        <v>3960</v>
      </c>
      <c r="G34" s="1" t="s">
        <v>49</v>
      </c>
      <c r="H34" s="1">
        <v>2752909</v>
      </c>
      <c r="I34" s="1">
        <v>2739644.56</v>
      </c>
      <c r="J34" s="1">
        <v>0</v>
      </c>
      <c r="K34" s="1">
        <f>_SELECT_u_city_AS_Город_TO_CHAR_f_rental_start_YYYY_MM_AS_Месяц__202609232054[[#This Row],[Чистая Выручка]] * (1 + $B$4)</f>
        <v>2739644.56</v>
      </c>
      <c r="L34" s="1">
        <f>_SELECT_u_city_AS_Город_TO_CHAR_f_rental_start_YYYY_MM_AS_Месяц__202609232054[[#This Row],[Расходы на Ремонт]] * (1 + $B$5)</f>
        <v>0</v>
      </c>
      <c r="M3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2739644.56</v>
      </c>
    </row>
    <row r="35" spans="3:13" x14ac:dyDescent="0.25">
      <c r="C35" s="1" t="s">
        <v>27</v>
      </c>
      <c r="D35" s="2">
        <v>45323</v>
      </c>
      <c r="E35" s="1" t="s">
        <v>11</v>
      </c>
      <c r="F35">
        <v>3908</v>
      </c>
      <c r="G35" s="1" t="s">
        <v>50</v>
      </c>
      <c r="H35" s="1">
        <v>2745552.5</v>
      </c>
      <c r="I35" s="1">
        <v>2732121.54</v>
      </c>
      <c r="J35" s="1">
        <v>135049.35</v>
      </c>
      <c r="K35" s="1">
        <f>_SELECT_u_city_AS_Город_TO_CHAR_f_rental_start_YYYY_MM_AS_Месяц__202609232054[[#This Row],[Чистая Выручка]] * (1 + $B$4)</f>
        <v>2732121.54</v>
      </c>
      <c r="L35" s="1">
        <f>_SELECT_u_city_AS_Город_TO_CHAR_f_rental_start_YYYY_MM_AS_Месяц__202609232054[[#This Row],[Расходы на Ремонт]] * (1 + $B$5)</f>
        <v>135049.35</v>
      </c>
      <c r="M3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2597072.19</v>
      </c>
    </row>
    <row r="36" spans="3:13" x14ac:dyDescent="0.25">
      <c r="C36" s="1" t="s">
        <v>27</v>
      </c>
      <c r="D36" s="2">
        <v>45323</v>
      </c>
      <c r="E36" s="1" t="s">
        <v>13</v>
      </c>
      <c r="F36">
        <v>4093</v>
      </c>
      <c r="G36" s="1" t="s">
        <v>51</v>
      </c>
      <c r="H36" s="1">
        <v>2893322</v>
      </c>
      <c r="I36" s="1">
        <v>2879394.61</v>
      </c>
      <c r="J36" s="1">
        <v>67510.607999999993</v>
      </c>
      <c r="K36" s="1">
        <f>_SELECT_u_city_AS_Город_TO_CHAR_f_rental_start_YYYY_MM_AS_Месяц__202609232054[[#This Row],[Чистая Выручка]] * (1 + $B$4)</f>
        <v>2879394.61</v>
      </c>
      <c r="L36" s="1">
        <f>_SELECT_u_city_AS_Город_TO_CHAR_f_rental_start_YYYY_MM_AS_Месяц__202609232054[[#This Row],[Расходы на Ремонт]] * (1 + $B$5)</f>
        <v>67510.607999999993</v>
      </c>
      <c r="M3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2811884.0019999999</v>
      </c>
    </row>
    <row r="37" spans="3:13" x14ac:dyDescent="0.25">
      <c r="C37" s="1" t="s">
        <v>27</v>
      </c>
      <c r="D37" s="2">
        <v>45323</v>
      </c>
      <c r="E37" s="1" t="s">
        <v>15</v>
      </c>
      <c r="F37">
        <v>3878</v>
      </c>
      <c r="G37" s="1" t="s">
        <v>52</v>
      </c>
      <c r="H37" s="1">
        <v>2686877</v>
      </c>
      <c r="I37" s="1">
        <v>2673057.4900000002</v>
      </c>
      <c r="J37" s="1">
        <v>47658.78</v>
      </c>
      <c r="K37" s="1">
        <f>_SELECT_u_city_AS_Город_TO_CHAR_f_rental_start_YYYY_MM_AS_Месяц__202609232054[[#This Row],[Чистая Выручка]] * (1 + $B$4)</f>
        <v>2673057.4900000002</v>
      </c>
      <c r="L37" s="1">
        <f>_SELECT_u_city_AS_Город_TO_CHAR_f_rental_start_YYYY_MM_AS_Месяц__202609232054[[#This Row],[Расходы на Ремонт]] * (1 + $B$5)</f>
        <v>47658.78</v>
      </c>
      <c r="M3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2625398.7100000004</v>
      </c>
    </row>
    <row r="38" spans="3:13" x14ac:dyDescent="0.25">
      <c r="C38" s="1" t="s">
        <v>32</v>
      </c>
      <c r="D38" s="2">
        <v>45323</v>
      </c>
      <c r="E38" s="1" t="s">
        <v>9</v>
      </c>
      <c r="F38">
        <v>3912</v>
      </c>
      <c r="G38" s="1" t="s">
        <v>53</v>
      </c>
      <c r="H38" s="1">
        <v>2731083.5</v>
      </c>
      <c r="I38" s="1">
        <v>2717758.92</v>
      </c>
      <c r="J38" s="1">
        <v>0</v>
      </c>
      <c r="K38" s="1">
        <f>_SELECT_u_city_AS_Город_TO_CHAR_f_rental_start_YYYY_MM_AS_Месяц__202609232054[[#This Row],[Чистая Выручка]] * (1 + $B$4)</f>
        <v>2717758.92</v>
      </c>
      <c r="L38" s="1">
        <f>_SELECT_u_city_AS_Город_TO_CHAR_f_rental_start_YYYY_MM_AS_Месяц__202609232054[[#This Row],[Расходы на Ремонт]] * (1 + $B$5)</f>
        <v>0</v>
      </c>
      <c r="M3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2717758.92</v>
      </c>
    </row>
    <row r="39" spans="3:13" x14ac:dyDescent="0.25">
      <c r="C39" s="1" t="s">
        <v>32</v>
      </c>
      <c r="D39" s="2">
        <v>45323</v>
      </c>
      <c r="E39" s="1" t="s">
        <v>11</v>
      </c>
      <c r="F39">
        <v>3969</v>
      </c>
      <c r="G39" s="1" t="s">
        <v>54</v>
      </c>
      <c r="H39" s="1">
        <v>2799820</v>
      </c>
      <c r="I39" s="1">
        <v>2786074.51</v>
      </c>
      <c r="J39" s="1">
        <v>135136.45000000001</v>
      </c>
      <c r="K39" s="1">
        <f>_SELECT_u_city_AS_Город_TO_CHAR_f_rental_start_YYYY_MM_AS_Месяц__202609232054[[#This Row],[Чистая Выручка]] * (1 + $B$4)</f>
        <v>2786074.51</v>
      </c>
      <c r="L39" s="1">
        <f>_SELECT_u_city_AS_Город_TO_CHAR_f_rental_start_YYYY_MM_AS_Месяц__202609232054[[#This Row],[Расходы на Ремонт]] * (1 + $B$5)</f>
        <v>135136.45000000001</v>
      </c>
      <c r="M3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2650938.0599999996</v>
      </c>
    </row>
    <row r="40" spans="3:13" x14ac:dyDescent="0.25">
      <c r="C40" s="1" t="s">
        <v>32</v>
      </c>
      <c r="D40" s="2">
        <v>45323</v>
      </c>
      <c r="E40" s="1" t="s">
        <v>13</v>
      </c>
      <c r="F40">
        <v>4064</v>
      </c>
      <c r="G40" s="1" t="s">
        <v>55</v>
      </c>
      <c r="H40" s="1">
        <v>2834342.5</v>
      </c>
      <c r="I40" s="1">
        <v>2821014.25</v>
      </c>
      <c r="J40" s="1">
        <v>66128.448000000004</v>
      </c>
      <c r="K40" s="1">
        <f>_SELECT_u_city_AS_Город_TO_CHAR_f_rental_start_YYYY_MM_AS_Месяц__202609232054[[#This Row],[Чистая Выручка]] * (1 + $B$4)</f>
        <v>2821014.25</v>
      </c>
      <c r="L40" s="1">
        <f>_SELECT_u_city_AS_Город_TO_CHAR_f_rental_start_YYYY_MM_AS_Месяц__202609232054[[#This Row],[Расходы на Ремонт]] * (1 + $B$5)</f>
        <v>66128.448000000004</v>
      </c>
      <c r="M4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2754885.8020000001</v>
      </c>
    </row>
    <row r="41" spans="3:13" x14ac:dyDescent="0.25">
      <c r="C41" s="1" t="s">
        <v>32</v>
      </c>
      <c r="D41" s="2">
        <v>45323</v>
      </c>
      <c r="E41" s="1" t="s">
        <v>15</v>
      </c>
      <c r="F41">
        <v>4021</v>
      </c>
      <c r="G41" s="1" t="s">
        <v>56</v>
      </c>
      <c r="H41" s="1">
        <v>2799401.5</v>
      </c>
      <c r="I41" s="1">
        <v>2786445.04</v>
      </c>
      <c r="J41" s="1">
        <v>49150.421999999999</v>
      </c>
      <c r="K41" s="1">
        <f>_SELECT_u_city_AS_Город_TO_CHAR_f_rental_start_YYYY_MM_AS_Месяц__202609232054[[#This Row],[Чистая Выручка]] * (1 + $B$4)</f>
        <v>2786445.04</v>
      </c>
      <c r="L41" s="1">
        <f>_SELECT_u_city_AS_Город_TO_CHAR_f_rental_start_YYYY_MM_AS_Месяц__202609232054[[#This Row],[Расходы на Ремонт]] * (1 + $B$5)</f>
        <v>49150.421999999999</v>
      </c>
      <c r="M4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2737294.6180000002</v>
      </c>
    </row>
    <row r="42" spans="3:13" x14ac:dyDescent="0.25">
      <c r="C42" s="1" t="s">
        <v>8</v>
      </c>
      <c r="D42" s="2">
        <v>45352</v>
      </c>
      <c r="E42" s="1" t="s">
        <v>9</v>
      </c>
      <c r="F42">
        <v>4418</v>
      </c>
      <c r="G42" s="1" t="s">
        <v>57</v>
      </c>
      <c r="H42" s="1">
        <v>3073427.5</v>
      </c>
      <c r="I42" s="1">
        <v>3059060.55</v>
      </c>
      <c r="J42" s="1">
        <v>0</v>
      </c>
      <c r="K42" s="1">
        <f>_SELECT_u_city_AS_Город_TO_CHAR_f_rental_start_YYYY_MM_AS_Месяц__202609232054[[#This Row],[Чистая Выручка]] * (1 + $B$4)</f>
        <v>3059060.55</v>
      </c>
      <c r="L42" s="1">
        <f>_SELECT_u_city_AS_Город_TO_CHAR_f_rental_start_YYYY_MM_AS_Месяц__202609232054[[#This Row],[Расходы на Ремонт]] * (1 + $B$5)</f>
        <v>0</v>
      </c>
      <c r="M4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3059060.55</v>
      </c>
    </row>
    <row r="43" spans="3:13" x14ac:dyDescent="0.25">
      <c r="C43" s="1" t="s">
        <v>8</v>
      </c>
      <c r="D43" s="2">
        <v>45352</v>
      </c>
      <c r="E43" s="1" t="s">
        <v>11</v>
      </c>
      <c r="F43">
        <v>4239</v>
      </c>
      <c r="G43" s="1" t="s">
        <v>58</v>
      </c>
      <c r="H43" s="1">
        <v>2944566.5</v>
      </c>
      <c r="I43" s="1">
        <v>2929691.24</v>
      </c>
      <c r="J43" s="1">
        <v>143486.20000000001</v>
      </c>
      <c r="K43" s="1">
        <f>_SELECT_u_city_AS_Город_TO_CHAR_f_rental_start_YYYY_MM_AS_Месяц__202609232054[[#This Row],[Чистая Выручка]] * (1 + $B$4)</f>
        <v>2929691.24</v>
      </c>
      <c r="L43" s="1">
        <f>_SELECT_u_city_AS_Город_TO_CHAR_f_rental_start_YYYY_MM_AS_Месяц__202609232054[[#This Row],[Расходы на Ремонт]] * (1 + $B$5)</f>
        <v>143486.20000000001</v>
      </c>
      <c r="M4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2786205.04</v>
      </c>
    </row>
    <row r="44" spans="3:13" x14ac:dyDescent="0.25">
      <c r="C44" s="1" t="s">
        <v>8</v>
      </c>
      <c r="D44" s="2">
        <v>45352</v>
      </c>
      <c r="E44" s="1" t="s">
        <v>13</v>
      </c>
      <c r="F44">
        <v>4386</v>
      </c>
      <c r="G44" s="1" t="s">
        <v>59</v>
      </c>
      <c r="H44" s="1">
        <v>3059702.5</v>
      </c>
      <c r="I44" s="1">
        <v>3045104.18</v>
      </c>
      <c r="J44" s="1">
        <v>71623.44</v>
      </c>
      <c r="K44" s="1">
        <f>_SELECT_u_city_AS_Город_TO_CHAR_f_rental_start_YYYY_MM_AS_Месяц__202609232054[[#This Row],[Чистая Выручка]] * (1 + $B$4)</f>
        <v>3045104.18</v>
      </c>
      <c r="L44" s="1">
        <f>_SELECT_u_city_AS_Город_TO_CHAR_f_rental_start_YYYY_MM_AS_Месяц__202609232054[[#This Row],[Расходы на Ремонт]] * (1 + $B$5)</f>
        <v>71623.44</v>
      </c>
      <c r="M4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2973480.74</v>
      </c>
    </row>
    <row r="45" spans="3:13" x14ac:dyDescent="0.25">
      <c r="C45" s="1" t="s">
        <v>8</v>
      </c>
      <c r="D45" s="2">
        <v>45352</v>
      </c>
      <c r="E45" s="1" t="s">
        <v>15</v>
      </c>
      <c r="F45">
        <v>4275</v>
      </c>
      <c r="G45" s="1" t="s">
        <v>60</v>
      </c>
      <c r="H45" s="1">
        <v>2992605.5</v>
      </c>
      <c r="I45" s="1">
        <v>2978825.93</v>
      </c>
      <c r="J45" s="1">
        <v>52558.010999999999</v>
      </c>
      <c r="K45" s="1">
        <f>_SELECT_u_city_AS_Город_TO_CHAR_f_rental_start_YYYY_MM_AS_Месяц__202609232054[[#This Row],[Чистая Выручка]] * (1 + $B$4)</f>
        <v>2978825.93</v>
      </c>
      <c r="L45" s="1">
        <f>_SELECT_u_city_AS_Город_TO_CHAR_f_rental_start_YYYY_MM_AS_Месяц__202609232054[[#This Row],[Расходы на Ремонт]] * (1 + $B$5)</f>
        <v>52558.010999999999</v>
      </c>
      <c r="M4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2926267.9190000002</v>
      </c>
    </row>
    <row r="46" spans="3:13" x14ac:dyDescent="0.25">
      <c r="C46" s="1" t="s">
        <v>17</v>
      </c>
      <c r="D46" s="2">
        <v>45352</v>
      </c>
      <c r="E46" s="1" t="s">
        <v>9</v>
      </c>
      <c r="F46">
        <v>4135</v>
      </c>
      <c r="G46" s="1" t="s">
        <v>61</v>
      </c>
      <c r="H46" s="1">
        <v>2879093.5</v>
      </c>
      <c r="I46" s="1">
        <v>2864221.4</v>
      </c>
      <c r="J46" s="1">
        <v>0</v>
      </c>
      <c r="K46" s="1">
        <f>_SELECT_u_city_AS_Город_TO_CHAR_f_rental_start_YYYY_MM_AS_Месяц__202609232054[[#This Row],[Чистая Выручка]] * (1 + $B$4)</f>
        <v>2864221.4</v>
      </c>
      <c r="L46" s="1">
        <f>_SELECT_u_city_AS_Город_TO_CHAR_f_rental_start_YYYY_MM_AS_Месяц__202609232054[[#This Row],[Расходы на Ремонт]] * (1 + $B$5)</f>
        <v>0</v>
      </c>
      <c r="M4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2864221.4</v>
      </c>
    </row>
    <row r="47" spans="3:13" x14ac:dyDescent="0.25">
      <c r="C47" s="1" t="s">
        <v>17</v>
      </c>
      <c r="D47" s="2">
        <v>45352</v>
      </c>
      <c r="E47" s="1" t="s">
        <v>11</v>
      </c>
      <c r="F47">
        <v>4289</v>
      </c>
      <c r="G47" s="1" t="s">
        <v>62</v>
      </c>
      <c r="H47" s="1">
        <v>3009551</v>
      </c>
      <c r="I47" s="1">
        <v>2994236.72</v>
      </c>
      <c r="J47" s="1">
        <v>145652.4</v>
      </c>
      <c r="K47" s="1">
        <f>_SELECT_u_city_AS_Город_TO_CHAR_f_rental_start_YYYY_MM_AS_Месяц__202609232054[[#This Row],[Чистая Выручка]] * (1 + $B$4)</f>
        <v>2994236.72</v>
      </c>
      <c r="L47" s="1">
        <f>_SELECT_u_city_AS_Город_TO_CHAR_f_rental_start_YYYY_MM_AS_Месяц__202609232054[[#This Row],[Расходы на Ремонт]] * (1 + $B$5)</f>
        <v>145652.4</v>
      </c>
      <c r="M4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2848584.3200000003</v>
      </c>
    </row>
    <row r="48" spans="3:13" x14ac:dyDescent="0.25">
      <c r="C48" s="1" t="s">
        <v>17</v>
      </c>
      <c r="D48" s="2">
        <v>45352</v>
      </c>
      <c r="E48" s="1" t="s">
        <v>13</v>
      </c>
      <c r="F48">
        <v>4245</v>
      </c>
      <c r="G48" s="1" t="s">
        <v>63</v>
      </c>
      <c r="H48" s="1">
        <v>2975671</v>
      </c>
      <c r="I48" s="1">
        <v>2961034.48</v>
      </c>
      <c r="J48" s="1">
        <v>70712.051999999996</v>
      </c>
      <c r="K48" s="1">
        <f>_SELECT_u_city_AS_Город_TO_CHAR_f_rental_start_YYYY_MM_AS_Месяц__202609232054[[#This Row],[Чистая Выручка]] * (1 + $B$4)</f>
        <v>2961034.48</v>
      </c>
      <c r="L48" s="1">
        <f>_SELECT_u_city_AS_Город_TO_CHAR_f_rental_start_YYYY_MM_AS_Месяц__202609232054[[#This Row],[Расходы на Ремонт]] * (1 + $B$5)</f>
        <v>70712.051999999996</v>
      </c>
      <c r="M4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2890322.4279999998</v>
      </c>
    </row>
    <row r="49" spans="3:13" x14ac:dyDescent="0.25">
      <c r="C49" s="1" t="s">
        <v>17</v>
      </c>
      <c r="D49" s="2">
        <v>45352</v>
      </c>
      <c r="E49" s="1" t="s">
        <v>15</v>
      </c>
      <c r="F49">
        <v>4321</v>
      </c>
      <c r="G49" s="1" t="s">
        <v>64</v>
      </c>
      <c r="H49" s="1">
        <v>3043364.5</v>
      </c>
      <c r="I49" s="1">
        <v>3027788.22</v>
      </c>
      <c r="J49" s="1">
        <v>53691.444000000003</v>
      </c>
      <c r="K49" s="1">
        <f>_SELECT_u_city_AS_Город_TO_CHAR_f_rental_start_YYYY_MM_AS_Месяц__202609232054[[#This Row],[Чистая Выручка]] * (1 + $B$4)</f>
        <v>3027788.22</v>
      </c>
      <c r="L49" s="1">
        <f>_SELECT_u_city_AS_Город_TO_CHAR_f_rental_start_YYYY_MM_AS_Месяц__202609232054[[#This Row],[Расходы на Ремонт]] * (1 + $B$5)</f>
        <v>53691.444000000003</v>
      </c>
      <c r="M4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2974096.7760000001</v>
      </c>
    </row>
    <row r="50" spans="3:13" x14ac:dyDescent="0.25">
      <c r="C50" s="1" t="s">
        <v>22</v>
      </c>
      <c r="D50" s="2">
        <v>45352</v>
      </c>
      <c r="E50" s="1" t="s">
        <v>9</v>
      </c>
      <c r="F50">
        <v>4429</v>
      </c>
      <c r="G50" s="1" t="s">
        <v>65</v>
      </c>
      <c r="H50" s="1">
        <v>3070523.5</v>
      </c>
      <c r="I50" s="1">
        <v>3055689.88</v>
      </c>
      <c r="J50" s="1">
        <v>0</v>
      </c>
      <c r="K50" s="1">
        <f>_SELECT_u_city_AS_Город_TO_CHAR_f_rental_start_YYYY_MM_AS_Месяц__202609232054[[#This Row],[Чистая Выручка]] * (1 + $B$4)</f>
        <v>3055689.88</v>
      </c>
      <c r="L50" s="1">
        <f>_SELECT_u_city_AS_Город_TO_CHAR_f_rental_start_YYYY_MM_AS_Месяц__202609232054[[#This Row],[Расходы на Ремонт]] * (1 + $B$5)</f>
        <v>0</v>
      </c>
      <c r="M5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3055689.88</v>
      </c>
    </row>
    <row r="51" spans="3:13" x14ac:dyDescent="0.25">
      <c r="C51" s="1" t="s">
        <v>22</v>
      </c>
      <c r="D51" s="2">
        <v>45352</v>
      </c>
      <c r="E51" s="1" t="s">
        <v>11</v>
      </c>
      <c r="F51">
        <v>4434</v>
      </c>
      <c r="G51" s="1" t="s">
        <v>66</v>
      </c>
      <c r="H51" s="1">
        <v>3051867</v>
      </c>
      <c r="I51" s="1">
        <v>3037148.29</v>
      </c>
      <c r="J51" s="1">
        <v>150053</v>
      </c>
      <c r="K51" s="1">
        <f>_SELECT_u_city_AS_Город_TO_CHAR_f_rental_start_YYYY_MM_AS_Месяц__202609232054[[#This Row],[Чистая Выручка]] * (1 + $B$4)</f>
        <v>3037148.29</v>
      </c>
      <c r="L51" s="1">
        <f>_SELECT_u_city_AS_Город_TO_CHAR_f_rental_start_YYYY_MM_AS_Месяц__202609232054[[#This Row],[Расходы на Ремонт]] * (1 + $B$5)</f>
        <v>150053</v>
      </c>
      <c r="M5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2887095.29</v>
      </c>
    </row>
    <row r="52" spans="3:13" x14ac:dyDescent="0.25">
      <c r="C52" s="1" t="s">
        <v>22</v>
      </c>
      <c r="D52" s="2">
        <v>45352</v>
      </c>
      <c r="E52" s="1" t="s">
        <v>13</v>
      </c>
      <c r="F52">
        <v>4382</v>
      </c>
      <c r="G52" s="1" t="s">
        <v>67</v>
      </c>
      <c r="H52" s="1">
        <v>3061200</v>
      </c>
      <c r="I52" s="1">
        <v>3047098.8</v>
      </c>
      <c r="J52" s="1">
        <v>71419.679999999993</v>
      </c>
      <c r="K52" s="1">
        <f>_SELECT_u_city_AS_Город_TO_CHAR_f_rental_start_YYYY_MM_AS_Месяц__202609232054[[#This Row],[Чистая Выручка]] * (1 + $B$4)</f>
        <v>3047098.8</v>
      </c>
      <c r="L52" s="1">
        <f>_SELECT_u_city_AS_Город_TO_CHAR_f_rental_start_YYYY_MM_AS_Месяц__202609232054[[#This Row],[Расходы на Ремонт]] * (1 + $B$5)</f>
        <v>71419.679999999993</v>
      </c>
      <c r="M5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2975679.1199999996</v>
      </c>
    </row>
    <row r="53" spans="3:13" x14ac:dyDescent="0.25">
      <c r="C53" s="1" t="s">
        <v>22</v>
      </c>
      <c r="D53" s="2">
        <v>45352</v>
      </c>
      <c r="E53" s="1" t="s">
        <v>15</v>
      </c>
      <c r="F53">
        <v>4429</v>
      </c>
      <c r="G53" s="1" t="s">
        <v>68</v>
      </c>
      <c r="H53" s="1">
        <v>3132858.5</v>
      </c>
      <c r="I53" s="1">
        <v>3117870.2</v>
      </c>
      <c r="J53" s="1">
        <v>54947.042999999998</v>
      </c>
      <c r="K53" s="1">
        <f>_SELECT_u_city_AS_Город_TO_CHAR_f_rental_start_YYYY_MM_AS_Месяц__202609232054[[#This Row],[Чистая Выручка]] * (1 + $B$4)</f>
        <v>3117870.2</v>
      </c>
      <c r="L53" s="1">
        <f>_SELECT_u_city_AS_Город_TO_CHAR_f_rental_start_YYYY_MM_AS_Месяц__202609232054[[#This Row],[Расходы на Ремонт]] * (1 + $B$5)</f>
        <v>54947.042999999998</v>
      </c>
      <c r="M5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3062923.1570000001</v>
      </c>
    </row>
    <row r="54" spans="3:13" x14ac:dyDescent="0.25">
      <c r="C54" s="1" t="s">
        <v>27</v>
      </c>
      <c r="D54" s="2">
        <v>45352</v>
      </c>
      <c r="E54" s="1" t="s">
        <v>9</v>
      </c>
      <c r="F54">
        <v>4211</v>
      </c>
      <c r="G54" s="1" t="s">
        <v>69</v>
      </c>
      <c r="H54" s="1">
        <v>2898795</v>
      </c>
      <c r="I54" s="1">
        <v>2884954.63</v>
      </c>
      <c r="J54" s="1">
        <v>0</v>
      </c>
      <c r="K54" s="1">
        <f>_SELECT_u_city_AS_Город_TO_CHAR_f_rental_start_YYYY_MM_AS_Месяц__202609232054[[#This Row],[Чистая Выручка]] * (1 + $B$4)</f>
        <v>2884954.63</v>
      </c>
      <c r="L54" s="1">
        <f>_SELECT_u_city_AS_Город_TO_CHAR_f_rental_start_YYYY_MM_AS_Месяц__202609232054[[#This Row],[Расходы на Ремонт]] * (1 + $B$5)</f>
        <v>0</v>
      </c>
      <c r="M5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2884954.63</v>
      </c>
    </row>
    <row r="55" spans="3:13" x14ac:dyDescent="0.25">
      <c r="C55" s="1" t="s">
        <v>27</v>
      </c>
      <c r="D55" s="2">
        <v>45352</v>
      </c>
      <c r="E55" s="1" t="s">
        <v>11</v>
      </c>
      <c r="F55">
        <v>4138</v>
      </c>
      <c r="G55" s="1" t="s">
        <v>70</v>
      </c>
      <c r="H55" s="1">
        <v>2901375</v>
      </c>
      <c r="I55" s="1">
        <v>2886245.71</v>
      </c>
      <c r="J55" s="1">
        <v>141031</v>
      </c>
      <c r="K55" s="1">
        <f>_SELECT_u_city_AS_Город_TO_CHAR_f_rental_start_YYYY_MM_AS_Месяц__202609232054[[#This Row],[Чистая Выручка]] * (1 + $B$4)</f>
        <v>2886245.71</v>
      </c>
      <c r="L55" s="1">
        <f>_SELECT_u_city_AS_Город_TO_CHAR_f_rental_start_YYYY_MM_AS_Месяц__202609232054[[#This Row],[Расходы на Ремонт]] * (1 + $B$5)</f>
        <v>141031</v>
      </c>
      <c r="M5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2745214.71</v>
      </c>
    </row>
    <row r="56" spans="3:13" x14ac:dyDescent="0.25">
      <c r="C56" s="1" t="s">
        <v>27</v>
      </c>
      <c r="D56" s="2">
        <v>45352</v>
      </c>
      <c r="E56" s="1" t="s">
        <v>13</v>
      </c>
      <c r="F56">
        <v>4246</v>
      </c>
      <c r="G56" s="1" t="s">
        <v>71</v>
      </c>
      <c r="H56" s="1">
        <v>2981293.5</v>
      </c>
      <c r="I56" s="1">
        <v>2965633.68</v>
      </c>
      <c r="J56" s="1">
        <v>70329.66</v>
      </c>
      <c r="K56" s="1">
        <f>_SELECT_u_city_AS_Город_TO_CHAR_f_rental_start_YYYY_MM_AS_Месяц__202609232054[[#This Row],[Чистая Выручка]] * (1 + $B$4)</f>
        <v>2965633.68</v>
      </c>
      <c r="L56" s="1">
        <f>_SELECT_u_city_AS_Город_TO_CHAR_f_rental_start_YYYY_MM_AS_Месяц__202609232054[[#This Row],[Расходы на Ремонт]] * (1 + $B$5)</f>
        <v>70329.66</v>
      </c>
      <c r="M5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2895304.02</v>
      </c>
    </row>
    <row r="57" spans="3:13" x14ac:dyDescent="0.25">
      <c r="C57" s="1" t="s">
        <v>27</v>
      </c>
      <c r="D57" s="2">
        <v>45352</v>
      </c>
      <c r="E57" s="1" t="s">
        <v>15</v>
      </c>
      <c r="F57">
        <v>4221</v>
      </c>
      <c r="G57" s="1" t="s">
        <v>72</v>
      </c>
      <c r="H57" s="1">
        <v>2939329</v>
      </c>
      <c r="I57" s="1">
        <v>2925462.51</v>
      </c>
      <c r="J57" s="1">
        <v>51610.923000000003</v>
      </c>
      <c r="K57" s="1">
        <f>_SELECT_u_city_AS_Город_TO_CHAR_f_rental_start_YYYY_MM_AS_Месяц__202609232054[[#This Row],[Чистая Выручка]] * (1 + $B$4)</f>
        <v>2925462.51</v>
      </c>
      <c r="L57" s="1">
        <f>_SELECT_u_city_AS_Город_TO_CHAR_f_rental_start_YYYY_MM_AS_Месяц__202609232054[[#This Row],[Расходы на Ремонт]] * (1 + $B$5)</f>
        <v>51610.923000000003</v>
      </c>
      <c r="M5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2873851.5869999998</v>
      </c>
    </row>
    <row r="58" spans="3:13" x14ac:dyDescent="0.25">
      <c r="C58" s="1" t="s">
        <v>32</v>
      </c>
      <c r="D58" s="2">
        <v>45352</v>
      </c>
      <c r="E58" s="1" t="s">
        <v>9</v>
      </c>
      <c r="F58">
        <v>4239</v>
      </c>
      <c r="G58" s="1" t="s">
        <v>73</v>
      </c>
      <c r="H58" s="1">
        <v>2970332.5</v>
      </c>
      <c r="I58" s="1">
        <v>2956274.09</v>
      </c>
      <c r="J58" s="1">
        <v>0</v>
      </c>
      <c r="K58" s="1">
        <f>_SELECT_u_city_AS_Город_TO_CHAR_f_rental_start_YYYY_MM_AS_Месяц__202609232054[[#This Row],[Чистая Выручка]] * (1 + $B$4)</f>
        <v>2956274.09</v>
      </c>
      <c r="L58" s="1">
        <f>_SELECT_u_city_AS_Город_TO_CHAR_f_rental_start_YYYY_MM_AS_Месяц__202609232054[[#This Row],[Расходы на Ремонт]] * (1 + $B$5)</f>
        <v>0</v>
      </c>
      <c r="M5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2956274.09</v>
      </c>
    </row>
    <row r="59" spans="3:13" x14ac:dyDescent="0.25">
      <c r="C59" s="1" t="s">
        <v>32</v>
      </c>
      <c r="D59" s="2">
        <v>45352</v>
      </c>
      <c r="E59" s="1" t="s">
        <v>11</v>
      </c>
      <c r="F59">
        <v>4165</v>
      </c>
      <c r="G59" s="1" t="s">
        <v>74</v>
      </c>
      <c r="H59" s="1">
        <v>2891857</v>
      </c>
      <c r="I59" s="1">
        <v>2878260.89</v>
      </c>
      <c r="J59" s="1">
        <v>140730.82500000001</v>
      </c>
      <c r="K59" s="1">
        <f>_SELECT_u_city_AS_Город_TO_CHAR_f_rental_start_YYYY_MM_AS_Месяц__202609232054[[#This Row],[Чистая Выручка]] * (1 + $B$4)</f>
        <v>2878260.89</v>
      </c>
      <c r="L59" s="1">
        <f>_SELECT_u_city_AS_Город_TO_CHAR_f_rental_start_YYYY_MM_AS_Месяц__202609232054[[#This Row],[Расходы на Ремонт]] * (1 + $B$5)</f>
        <v>140730.82500000001</v>
      </c>
      <c r="M5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2737530.0649999999</v>
      </c>
    </row>
    <row r="60" spans="3:13" x14ac:dyDescent="0.25">
      <c r="C60" s="1" t="s">
        <v>32</v>
      </c>
      <c r="D60" s="2">
        <v>45352</v>
      </c>
      <c r="E60" s="1" t="s">
        <v>13</v>
      </c>
      <c r="F60">
        <v>4438</v>
      </c>
      <c r="G60" s="1" t="s">
        <v>75</v>
      </c>
      <c r="H60" s="1">
        <v>3092608</v>
      </c>
      <c r="I60" s="1">
        <v>3077576.82</v>
      </c>
      <c r="J60" s="1">
        <v>72359.567999999999</v>
      </c>
      <c r="K60" s="1">
        <f>_SELECT_u_city_AS_Город_TO_CHAR_f_rental_start_YYYY_MM_AS_Месяц__202609232054[[#This Row],[Чистая Выручка]] * (1 + $B$4)</f>
        <v>3077576.82</v>
      </c>
      <c r="L60" s="1">
        <f>_SELECT_u_city_AS_Город_TO_CHAR_f_rental_start_YYYY_MM_AS_Месяц__202609232054[[#This Row],[Расходы на Ремонт]] * (1 + $B$5)</f>
        <v>72359.567999999999</v>
      </c>
      <c r="M6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3005217.2519999999</v>
      </c>
    </row>
    <row r="61" spans="3:13" x14ac:dyDescent="0.25">
      <c r="C61" s="1" t="s">
        <v>32</v>
      </c>
      <c r="D61" s="2">
        <v>45352</v>
      </c>
      <c r="E61" s="1" t="s">
        <v>15</v>
      </c>
      <c r="F61">
        <v>4206</v>
      </c>
      <c r="G61" s="1" t="s">
        <v>76</v>
      </c>
      <c r="H61" s="1">
        <v>2954899.5</v>
      </c>
      <c r="I61" s="1">
        <v>2940717.13</v>
      </c>
      <c r="J61" s="1">
        <v>51950.627999999997</v>
      </c>
      <c r="K61" s="1">
        <f>_SELECT_u_city_AS_Город_TO_CHAR_f_rental_start_YYYY_MM_AS_Месяц__202609232054[[#This Row],[Чистая Выручка]] * (1 + $B$4)</f>
        <v>2940717.13</v>
      </c>
      <c r="L61" s="1">
        <f>_SELECT_u_city_AS_Город_TO_CHAR_f_rental_start_YYYY_MM_AS_Месяц__202609232054[[#This Row],[Расходы на Ремонт]] * (1 + $B$5)</f>
        <v>51950.627999999997</v>
      </c>
      <c r="M6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2888766.5019999999</v>
      </c>
    </row>
    <row r="62" spans="3:13" x14ac:dyDescent="0.25">
      <c r="C62" s="1" t="s">
        <v>8</v>
      </c>
      <c r="D62" s="2">
        <v>45383</v>
      </c>
      <c r="E62" s="1" t="s">
        <v>9</v>
      </c>
      <c r="F62">
        <v>4248</v>
      </c>
      <c r="G62" s="1" t="s">
        <v>77</v>
      </c>
      <c r="H62" s="1">
        <v>2980965</v>
      </c>
      <c r="I62" s="1">
        <v>2966917.05</v>
      </c>
      <c r="J62" s="1">
        <v>0</v>
      </c>
      <c r="K62" s="1">
        <f>_SELECT_u_city_AS_Город_TO_CHAR_f_rental_start_YYYY_MM_AS_Месяц__202609232054[[#This Row],[Чистая Выручка]] * (1 + $B$4)</f>
        <v>2966917.05</v>
      </c>
      <c r="L62" s="1">
        <f>_SELECT_u_city_AS_Город_TO_CHAR_f_rental_start_YYYY_MM_AS_Месяц__202609232054[[#This Row],[Расходы на Ремонт]] * (1 + $B$5)</f>
        <v>0</v>
      </c>
      <c r="M6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2966917.05</v>
      </c>
    </row>
    <row r="63" spans="3:13" x14ac:dyDescent="0.25">
      <c r="C63" s="1" t="s">
        <v>8</v>
      </c>
      <c r="D63" s="2">
        <v>45383</v>
      </c>
      <c r="E63" s="1" t="s">
        <v>11</v>
      </c>
      <c r="F63">
        <v>4152</v>
      </c>
      <c r="G63" s="1" t="s">
        <v>78</v>
      </c>
      <c r="H63" s="1">
        <v>2896005.5</v>
      </c>
      <c r="I63" s="1">
        <v>2882308.08</v>
      </c>
      <c r="J63" s="1">
        <v>139808.125</v>
      </c>
      <c r="K63" s="1">
        <f>_SELECT_u_city_AS_Город_TO_CHAR_f_rental_start_YYYY_MM_AS_Месяц__202609232054[[#This Row],[Чистая Выручка]] * (1 + $B$4)</f>
        <v>2882308.08</v>
      </c>
      <c r="L63" s="1">
        <f>_SELECT_u_city_AS_Город_TO_CHAR_f_rental_start_YYYY_MM_AS_Месяц__202609232054[[#This Row],[Расходы на Ремонт]] * (1 + $B$5)</f>
        <v>139808.125</v>
      </c>
      <c r="M6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2742499.9550000001</v>
      </c>
    </row>
    <row r="64" spans="3:13" x14ac:dyDescent="0.25">
      <c r="C64" s="1" t="s">
        <v>8</v>
      </c>
      <c r="D64" s="2">
        <v>45383</v>
      </c>
      <c r="E64" s="1" t="s">
        <v>13</v>
      </c>
      <c r="F64">
        <v>4076</v>
      </c>
      <c r="G64" s="1" t="s">
        <v>79</v>
      </c>
      <c r="H64" s="1">
        <v>2833108.5</v>
      </c>
      <c r="I64" s="1">
        <v>2818921.17</v>
      </c>
      <c r="J64" s="1">
        <v>65949.648000000001</v>
      </c>
      <c r="K64" s="1">
        <f>_SELECT_u_city_AS_Город_TO_CHAR_f_rental_start_YYYY_MM_AS_Месяц__202609232054[[#This Row],[Чистая Выручка]] * (1 + $B$4)</f>
        <v>2818921.17</v>
      </c>
      <c r="L64" s="1">
        <f>_SELECT_u_city_AS_Город_TO_CHAR_f_rental_start_YYYY_MM_AS_Месяц__202609232054[[#This Row],[Расходы на Ремонт]] * (1 + $B$5)</f>
        <v>65949.648000000001</v>
      </c>
      <c r="M6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2752971.5219999999</v>
      </c>
    </row>
    <row r="65" spans="3:13" x14ac:dyDescent="0.25">
      <c r="C65" s="1" t="s">
        <v>8</v>
      </c>
      <c r="D65" s="2">
        <v>45383</v>
      </c>
      <c r="E65" s="1" t="s">
        <v>15</v>
      </c>
      <c r="F65">
        <v>4130</v>
      </c>
      <c r="G65" s="1" t="s">
        <v>80</v>
      </c>
      <c r="H65" s="1">
        <v>2906282.5</v>
      </c>
      <c r="I65" s="1">
        <v>2892920.31</v>
      </c>
      <c r="J65" s="1">
        <v>50998.148999999998</v>
      </c>
      <c r="K65" s="1">
        <f>_SELECT_u_city_AS_Город_TO_CHAR_f_rental_start_YYYY_MM_AS_Месяц__202609232054[[#This Row],[Чистая Выручка]] * (1 + $B$4)</f>
        <v>2892920.31</v>
      </c>
      <c r="L65" s="1">
        <f>_SELECT_u_city_AS_Город_TO_CHAR_f_rental_start_YYYY_MM_AS_Месяц__202609232054[[#This Row],[Расходы на Ремонт]] * (1 + $B$5)</f>
        <v>50998.148999999998</v>
      </c>
      <c r="M6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2841922.1609999998</v>
      </c>
    </row>
    <row r="66" spans="3:13" x14ac:dyDescent="0.25">
      <c r="C66" s="1" t="s">
        <v>17</v>
      </c>
      <c r="D66" s="2">
        <v>45383</v>
      </c>
      <c r="E66" s="1" t="s">
        <v>9</v>
      </c>
      <c r="F66">
        <v>4235</v>
      </c>
      <c r="G66" s="1" t="s">
        <v>81</v>
      </c>
      <c r="H66" s="1">
        <v>2949088.5</v>
      </c>
      <c r="I66" s="1">
        <v>2935641.43</v>
      </c>
      <c r="J66" s="1">
        <v>0</v>
      </c>
      <c r="K66" s="1">
        <f>_SELECT_u_city_AS_Город_TO_CHAR_f_rental_start_YYYY_MM_AS_Месяц__202609232054[[#This Row],[Чистая Выручка]] * (1 + $B$4)</f>
        <v>2935641.43</v>
      </c>
      <c r="L66" s="1">
        <f>_SELECT_u_city_AS_Город_TO_CHAR_f_rental_start_YYYY_MM_AS_Месяц__202609232054[[#This Row],[Расходы на Ремонт]] * (1 + $B$5)</f>
        <v>0</v>
      </c>
      <c r="M6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2935641.43</v>
      </c>
    </row>
    <row r="67" spans="3:13" x14ac:dyDescent="0.25">
      <c r="C67" s="1" t="s">
        <v>17</v>
      </c>
      <c r="D67" s="2">
        <v>45383</v>
      </c>
      <c r="E67" s="1" t="s">
        <v>11</v>
      </c>
      <c r="F67">
        <v>4131</v>
      </c>
      <c r="G67" s="1" t="s">
        <v>82</v>
      </c>
      <c r="H67" s="1">
        <v>2914181.5</v>
      </c>
      <c r="I67" s="1">
        <v>2900551.53</v>
      </c>
      <c r="J67" s="1">
        <v>140590.79999999999</v>
      </c>
      <c r="K67" s="1">
        <f>_SELECT_u_city_AS_Город_TO_CHAR_f_rental_start_YYYY_MM_AS_Месяц__202609232054[[#This Row],[Чистая Выручка]] * (1 + $B$4)</f>
        <v>2900551.53</v>
      </c>
      <c r="L67" s="1">
        <f>_SELECT_u_city_AS_Город_TO_CHAR_f_rental_start_YYYY_MM_AS_Месяц__202609232054[[#This Row],[Расходы на Ремонт]] * (1 + $B$5)</f>
        <v>140590.79999999999</v>
      </c>
      <c r="M6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2759960.73</v>
      </c>
    </row>
    <row r="68" spans="3:13" x14ac:dyDescent="0.25">
      <c r="C68" s="1" t="s">
        <v>17</v>
      </c>
      <c r="D68" s="2">
        <v>45383</v>
      </c>
      <c r="E68" s="1" t="s">
        <v>13</v>
      </c>
      <c r="F68">
        <v>4296</v>
      </c>
      <c r="G68" s="1" t="s">
        <v>83</v>
      </c>
      <c r="H68" s="1">
        <v>2990474.5</v>
      </c>
      <c r="I68" s="1">
        <v>2975524.16</v>
      </c>
      <c r="J68" s="1">
        <v>69797.555999999997</v>
      </c>
      <c r="K68" s="1">
        <f>_SELECT_u_city_AS_Город_TO_CHAR_f_rental_start_YYYY_MM_AS_Месяц__202609232054[[#This Row],[Чистая Выручка]] * (1 + $B$4)</f>
        <v>2975524.16</v>
      </c>
      <c r="L68" s="1">
        <f>_SELECT_u_city_AS_Город_TO_CHAR_f_rental_start_YYYY_MM_AS_Месяц__202609232054[[#This Row],[Расходы на Ремонт]] * (1 + $B$5)</f>
        <v>69797.555999999997</v>
      </c>
      <c r="M6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2905726.6040000003</v>
      </c>
    </row>
    <row r="69" spans="3:13" x14ac:dyDescent="0.25">
      <c r="C69" s="1" t="s">
        <v>17</v>
      </c>
      <c r="D69" s="2">
        <v>45383</v>
      </c>
      <c r="E69" s="1" t="s">
        <v>15</v>
      </c>
      <c r="F69">
        <v>4073</v>
      </c>
      <c r="G69" s="1" t="s">
        <v>84</v>
      </c>
      <c r="H69" s="1">
        <v>2846139</v>
      </c>
      <c r="I69" s="1">
        <v>2834131.26</v>
      </c>
      <c r="J69" s="1">
        <v>50167.044000000002</v>
      </c>
      <c r="K69" s="1">
        <f>_SELECT_u_city_AS_Город_TO_CHAR_f_rental_start_YYYY_MM_AS_Месяц__202609232054[[#This Row],[Чистая Выручка]] * (1 + $B$4)</f>
        <v>2834131.26</v>
      </c>
      <c r="L69" s="1">
        <f>_SELECT_u_city_AS_Город_TO_CHAR_f_rental_start_YYYY_MM_AS_Месяц__202609232054[[#This Row],[Расходы на Ремонт]] * (1 + $B$5)</f>
        <v>50167.044000000002</v>
      </c>
      <c r="M6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2783964.2159999995</v>
      </c>
    </row>
    <row r="70" spans="3:13" x14ac:dyDescent="0.25">
      <c r="C70" s="1" t="s">
        <v>22</v>
      </c>
      <c r="D70" s="2">
        <v>45383</v>
      </c>
      <c r="E70" s="1" t="s">
        <v>9</v>
      </c>
      <c r="F70">
        <v>4231</v>
      </c>
      <c r="G70" s="1" t="s">
        <v>85</v>
      </c>
      <c r="H70" s="1">
        <v>2960682</v>
      </c>
      <c r="I70" s="1">
        <v>2946888.28</v>
      </c>
      <c r="J70" s="1">
        <v>0</v>
      </c>
      <c r="K70" s="1">
        <f>_SELECT_u_city_AS_Город_TO_CHAR_f_rental_start_YYYY_MM_AS_Месяц__202609232054[[#This Row],[Чистая Выручка]] * (1 + $B$4)</f>
        <v>2946888.28</v>
      </c>
      <c r="L70" s="1">
        <f>_SELECT_u_city_AS_Город_TO_CHAR_f_rental_start_YYYY_MM_AS_Месяц__202609232054[[#This Row],[Расходы на Ремонт]] * (1 + $B$5)</f>
        <v>0</v>
      </c>
      <c r="M7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2946888.28</v>
      </c>
    </row>
    <row r="71" spans="3:13" x14ac:dyDescent="0.25">
      <c r="C71" s="1" t="s">
        <v>22</v>
      </c>
      <c r="D71" s="2">
        <v>45383</v>
      </c>
      <c r="E71" s="1" t="s">
        <v>11</v>
      </c>
      <c r="F71">
        <v>4178</v>
      </c>
      <c r="G71" s="1" t="s">
        <v>86</v>
      </c>
      <c r="H71" s="1">
        <v>2897221</v>
      </c>
      <c r="I71" s="1">
        <v>2883121.75</v>
      </c>
      <c r="J71" s="1">
        <v>141368.72500000001</v>
      </c>
      <c r="K71" s="1">
        <f>_SELECT_u_city_AS_Город_TO_CHAR_f_rental_start_YYYY_MM_AS_Месяц__202609232054[[#This Row],[Чистая Выручка]] * (1 + $B$4)</f>
        <v>2883121.75</v>
      </c>
      <c r="L71" s="1">
        <f>_SELECT_u_city_AS_Город_TO_CHAR_f_rental_start_YYYY_MM_AS_Месяц__202609232054[[#This Row],[Расходы на Ремонт]] * (1 + $B$5)</f>
        <v>141368.72500000001</v>
      </c>
      <c r="M7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2741753.0249999999</v>
      </c>
    </row>
    <row r="72" spans="3:13" x14ac:dyDescent="0.25">
      <c r="C72" s="1" t="s">
        <v>22</v>
      </c>
      <c r="D72" s="2">
        <v>45383</v>
      </c>
      <c r="E72" s="1" t="s">
        <v>13</v>
      </c>
      <c r="F72">
        <v>4293</v>
      </c>
      <c r="G72" s="1" t="s">
        <v>87</v>
      </c>
      <c r="H72" s="1">
        <v>2990848.5</v>
      </c>
      <c r="I72" s="1">
        <v>2976882.29</v>
      </c>
      <c r="J72" s="1">
        <v>70134.576000000001</v>
      </c>
      <c r="K72" s="1">
        <f>_SELECT_u_city_AS_Город_TO_CHAR_f_rental_start_YYYY_MM_AS_Месяц__202609232054[[#This Row],[Чистая Выручка]] * (1 + $B$4)</f>
        <v>2976882.29</v>
      </c>
      <c r="L72" s="1">
        <f>_SELECT_u_city_AS_Город_TO_CHAR_f_rental_start_YYYY_MM_AS_Месяц__202609232054[[#This Row],[Расходы на Ремонт]] * (1 + $B$5)</f>
        <v>70134.576000000001</v>
      </c>
      <c r="M7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2906747.7140000002</v>
      </c>
    </row>
    <row r="73" spans="3:13" x14ac:dyDescent="0.25">
      <c r="C73" s="1" t="s">
        <v>22</v>
      </c>
      <c r="D73" s="2">
        <v>45383</v>
      </c>
      <c r="E73" s="1" t="s">
        <v>15</v>
      </c>
      <c r="F73">
        <v>4286</v>
      </c>
      <c r="G73" s="1" t="s">
        <v>88</v>
      </c>
      <c r="H73" s="1">
        <v>3002478</v>
      </c>
      <c r="I73" s="1">
        <v>2987774.03</v>
      </c>
      <c r="J73" s="1">
        <v>53726.283000000003</v>
      </c>
      <c r="K73" s="1">
        <f>_SELECT_u_city_AS_Город_TO_CHAR_f_rental_start_YYYY_MM_AS_Месяц__202609232054[[#This Row],[Чистая Выручка]] * (1 + $B$4)</f>
        <v>2987774.03</v>
      </c>
      <c r="L73" s="1">
        <f>_SELECT_u_city_AS_Город_TO_CHAR_f_rental_start_YYYY_MM_AS_Месяц__202609232054[[#This Row],[Расходы на Ремонт]] * (1 + $B$5)</f>
        <v>53726.283000000003</v>
      </c>
      <c r="M7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2934047.747</v>
      </c>
    </row>
    <row r="74" spans="3:13" x14ac:dyDescent="0.25">
      <c r="C74" s="1" t="s">
        <v>27</v>
      </c>
      <c r="D74" s="2">
        <v>45383</v>
      </c>
      <c r="E74" s="1" t="s">
        <v>9</v>
      </c>
      <c r="F74">
        <v>4137</v>
      </c>
      <c r="G74" s="1" t="s">
        <v>89</v>
      </c>
      <c r="H74" s="1">
        <v>2902556.5</v>
      </c>
      <c r="I74" s="1">
        <v>2887958.34</v>
      </c>
      <c r="J74" s="1">
        <v>0</v>
      </c>
      <c r="K74" s="1">
        <f>_SELECT_u_city_AS_Город_TO_CHAR_f_rental_start_YYYY_MM_AS_Месяц__202609232054[[#This Row],[Чистая Выручка]] * (1 + $B$4)</f>
        <v>2887958.34</v>
      </c>
      <c r="L74" s="1">
        <f>_SELECT_u_city_AS_Город_TO_CHAR_f_rental_start_YYYY_MM_AS_Месяц__202609232054[[#This Row],[Расходы на Ремонт]] * (1 + $B$5)</f>
        <v>0</v>
      </c>
      <c r="M7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2887958.34</v>
      </c>
    </row>
    <row r="75" spans="3:13" x14ac:dyDescent="0.25">
      <c r="C75" s="1" t="s">
        <v>27</v>
      </c>
      <c r="D75" s="2">
        <v>45383</v>
      </c>
      <c r="E75" s="1" t="s">
        <v>11</v>
      </c>
      <c r="F75">
        <v>3899</v>
      </c>
      <c r="G75" s="1" t="s">
        <v>90</v>
      </c>
      <c r="H75" s="1">
        <v>2732914</v>
      </c>
      <c r="I75" s="1">
        <v>2719759.22</v>
      </c>
      <c r="J75" s="1">
        <v>134395.6</v>
      </c>
      <c r="K75" s="1">
        <f>_SELECT_u_city_AS_Город_TO_CHAR_f_rental_start_YYYY_MM_AS_Месяц__202609232054[[#This Row],[Чистая Выручка]] * (1 + $B$4)</f>
        <v>2719759.22</v>
      </c>
      <c r="L75" s="1">
        <f>_SELECT_u_city_AS_Город_TO_CHAR_f_rental_start_YYYY_MM_AS_Месяц__202609232054[[#This Row],[Расходы на Ремонт]] * (1 + $B$5)</f>
        <v>134395.6</v>
      </c>
      <c r="M7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2585363.62</v>
      </c>
    </row>
    <row r="76" spans="3:13" x14ac:dyDescent="0.25">
      <c r="C76" s="1" t="s">
        <v>27</v>
      </c>
      <c r="D76" s="2">
        <v>45383</v>
      </c>
      <c r="E76" s="1" t="s">
        <v>13</v>
      </c>
      <c r="F76">
        <v>4097</v>
      </c>
      <c r="G76" s="1" t="s">
        <v>91</v>
      </c>
      <c r="H76" s="1">
        <v>2843706</v>
      </c>
      <c r="I76" s="1">
        <v>2829500.91</v>
      </c>
      <c r="J76" s="1">
        <v>67168.668000000005</v>
      </c>
      <c r="K76" s="1">
        <f>_SELECT_u_city_AS_Город_TO_CHAR_f_rental_start_YYYY_MM_AS_Месяц__202609232054[[#This Row],[Чистая Выручка]] * (1 + $B$4)</f>
        <v>2829500.91</v>
      </c>
      <c r="L76" s="1">
        <f>_SELECT_u_city_AS_Город_TO_CHAR_f_rental_start_YYYY_MM_AS_Месяц__202609232054[[#This Row],[Расходы на Ремонт]] * (1 + $B$5)</f>
        <v>67168.668000000005</v>
      </c>
      <c r="M7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2762332.2420000001</v>
      </c>
    </row>
    <row r="77" spans="3:13" x14ac:dyDescent="0.25">
      <c r="C77" s="1" t="s">
        <v>27</v>
      </c>
      <c r="D77" s="2">
        <v>45383</v>
      </c>
      <c r="E77" s="1" t="s">
        <v>15</v>
      </c>
      <c r="F77">
        <v>4043</v>
      </c>
      <c r="G77" s="1" t="s">
        <v>92</v>
      </c>
      <c r="H77" s="1">
        <v>2788742.5</v>
      </c>
      <c r="I77" s="1">
        <v>2774527.33</v>
      </c>
      <c r="J77" s="1">
        <v>49106.745000000003</v>
      </c>
      <c r="K77" s="1">
        <f>_SELECT_u_city_AS_Город_TO_CHAR_f_rental_start_YYYY_MM_AS_Месяц__202609232054[[#This Row],[Чистая Выручка]] * (1 + $B$4)</f>
        <v>2774527.33</v>
      </c>
      <c r="L77" s="1">
        <f>_SELECT_u_city_AS_Город_TO_CHAR_f_rental_start_YYYY_MM_AS_Месяц__202609232054[[#This Row],[Расходы на Ремонт]] * (1 + $B$5)</f>
        <v>49106.745000000003</v>
      </c>
      <c r="M7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2725420.585</v>
      </c>
    </row>
    <row r="78" spans="3:13" x14ac:dyDescent="0.25">
      <c r="C78" s="1" t="s">
        <v>32</v>
      </c>
      <c r="D78" s="2">
        <v>45383</v>
      </c>
      <c r="E78" s="1" t="s">
        <v>9</v>
      </c>
      <c r="F78">
        <v>4164</v>
      </c>
      <c r="G78" s="1" t="s">
        <v>93</v>
      </c>
      <c r="H78" s="1">
        <v>2913433.5</v>
      </c>
      <c r="I78" s="1">
        <v>2899599.59</v>
      </c>
      <c r="J78" s="1">
        <v>0</v>
      </c>
      <c r="K78" s="1">
        <f>_SELECT_u_city_AS_Город_TO_CHAR_f_rental_start_YYYY_MM_AS_Месяц__202609232054[[#This Row],[Чистая Выручка]] * (1 + $B$4)</f>
        <v>2899599.59</v>
      </c>
      <c r="L78" s="1">
        <f>_SELECT_u_city_AS_Город_TO_CHAR_f_rental_start_YYYY_MM_AS_Месяц__202609232054[[#This Row],[Расходы на Ремонт]] * (1 + $B$5)</f>
        <v>0</v>
      </c>
      <c r="M7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2899599.59</v>
      </c>
    </row>
    <row r="79" spans="3:13" x14ac:dyDescent="0.25">
      <c r="C79" s="1" t="s">
        <v>32</v>
      </c>
      <c r="D79" s="2">
        <v>45383</v>
      </c>
      <c r="E79" s="1" t="s">
        <v>11</v>
      </c>
      <c r="F79">
        <v>4106</v>
      </c>
      <c r="G79" s="1" t="s">
        <v>94</v>
      </c>
      <c r="H79" s="1">
        <v>2855057.5</v>
      </c>
      <c r="I79" s="1">
        <v>2841085.6</v>
      </c>
      <c r="J79" s="1">
        <v>139802.95000000001</v>
      </c>
      <c r="K79" s="1">
        <f>_SELECT_u_city_AS_Город_TO_CHAR_f_rental_start_YYYY_MM_AS_Месяц__202609232054[[#This Row],[Чистая Выручка]] * (1 + $B$4)</f>
        <v>2841085.6</v>
      </c>
      <c r="L79" s="1">
        <f>_SELECT_u_city_AS_Город_TO_CHAR_f_rental_start_YYYY_MM_AS_Месяц__202609232054[[#This Row],[Расходы на Ремонт]] * (1 + $B$5)</f>
        <v>139802.95000000001</v>
      </c>
      <c r="M7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2701282.65</v>
      </c>
    </row>
    <row r="80" spans="3:13" x14ac:dyDescent="0.25">
      <c r="C80" s="1" t="s">
        <v>32</v>
      </c>
      <c r="D80" s="2">
        <v>45383</v>
      </c>
      <c r="E80" s="1" t="s">
        <v>13</v>
      </c>
      <c r="F80">
        <v>4200</v>
      </c>
      <c r="G80" s="1" t="s">
        <v>95</v>
      </c>
      <c r="H80" s="1">
        <v>2947067.5</v>
      </c>
      <c r="I80" s="1">
        <v>2932845.14</v>
      </c>
      <c r="J80" s="1">
        <v>70109.952000000005</v>
      </c>
      <c r="K80" s="1">
        <f>_SELECT_u_city_AS_Город_TO_CHAR_f_rental_start_YYYY_MM_AS_Месяц__202609232054[[#This Row],[Чистая Выручка]] * (1 + $B$4)</f>
        <v>2932845.14</v>
      </c>
      <c r="L80" s="1">
        <f>_SELECT_u_city_AS_Город_TO_CHAR_f_rental_start_YYYY_MM_AS_Месяц__202609232054[[#This Row],[Расходы на Ремонт]] * (1 + $B$5)</f>
        <v>70109.952000000005</v>
      </c>
      <c r="M8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2862735.1880000001</v>
      </c>
    </row>
    <row r="81" spans="3:13" x14ac:dyDescent="0.25">
      <c r="C81" s="1" t="s">
        <v>32</v>
      </c>
      <c r="D81" s="2">
        <v>45383</v>
      </c>
      <c r="E81" s="1" t="s">
        <v>15</v>
      </c>
      <c r="F81">
        <v>4020</v>
      </c>
      <c r="G81" s="1" t="s">
        <v>96</v>
      </c>
      <c r="H81" s="1">
        <v>2790790.5</v>
      </c>
      <c r="I81" s="1">
        <v>2777179.43</v>
      </c>
      <c r="J81" s="1">
        <v>49408.785000000003</v>
      </c>
      <c r="K81" s="1">
        <f>_SELECT_u_city_AS_Город_TO_CHAR_f_rental_start_YYYY_MM_AS_Месяц__202609232054[[#This Row],[Чистая Выручка]] * (1 + $B$4)</f>
        <v>2777179.43</v>
      </c>
      <c r="L81" s="1">
        <f>_SELECT_u_city_AS_Город_TO_CHAR_f_rental_start_YYYY_MM_AS_Месяц__202609232054[[#This Row],[Расходы на Ремонт]] * (1 + $B$5)</f>
        <v>49408.785000000003</v>
      </c>
      <c r="M8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2727770.645</v>
      </c>
    </row>
    <row r="82" spans="3:13" x14ac:dyDescent="0.25">
      <c r="C82" s="1" t="s">
        <v>8</v>
      </c>
      <c r="D82" s="2">
        <v>45413</v>
      </c>
      <c r="E82" s="1" t="s">
        <v>9</v>
      </c>
      <c r="F82">
        <v>4347</v>
      </c>
      <c r="G82" s="1" t="s">
        <v>97</v>
      </c>
      <c r="H82" s="1">
        <v>3093248.5</v>
      </c>
      <c r="I82" s="1">
        <v>3079829.24</v>
      </c>
      <c r="J82" s="1">
        <v>0</v>
      </c>
      <c r="K82" s="1">
        <f>_SELECT_u_city_AS_Город_TO_CHAR_f_rental_start_YYYY_MM_AS_Месяц__202609232054[[#This Row],[Чистая Выручка]] * (1 + $B$4)</f>
        <v>3079829.24</v>
      </c>
      <c r="L82" s="1">
        <f>_SELECT_u_city_AS_Город_TO_CHAR_f_rental_start_YYYY_MM_AS_Месяц__202609232054[[#This Row],[Расходы на Ремонт]] * (1 + $B$5)</f>
        <v>0</v>
      </c>
      <c r="M8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3079829.24</v>
      </c>
    </row>
    <row r="83" spans="3:13" x14ac:dyDescent="0.25">
      <c r="C83" s="1" t="s">
        <v>8</v>
      </c>
      <c r="D83" s="2">
        <v>45413</v>
      </c>
      <c r="E83" s="1" t="s">
        <v>11</v>
      </c>
      <c r="F83">
        <v>4158</v>
      </c>
      <c r="G83" s="1" t="s">
        <v>98</v>
      </c>
      <c r="H83" s="1">
        <v>2870352.5</v>
      </c>
      <c r="I83" s="1">
        <v>2856595.03</v>
      </c>
      <c r="J83" s="1">
        <v>141128.17499999999</v>
      </c>
      <c r="K83" s="1">
        <f>_SELECT_u_city_AS_Город_TO_CHAR_f_rental_start_YYYY_MM_AS_Месяц__202609232054[[#This Row],[Чистая Выручка]] * (1 + $B$4)</f>
        <v>2856595.03</v>
      </c>
      <c r="L83" s="1">
        <f>_SELECT_u_city_AS_Город_TO_CHAR_f_rental_start_YYYY_MM_AS_Месяц__202609232054[[#This Row],[Расходы на Ремонт]] * (1 + $B$5)</f>
        <v>141128.17499999999</v>
      </c>
      <c r="M8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2715466.855</v>
      </c>
    </row>
    <row r="84" spans="3:13" x14ac:dyDescent="0.25">
      <c r="C84" s="1" t="s">
        <v>8</v>
      </c>
      <c r="D84" s="2">
        <v>45413</v>
      </c>
      <c r="E84" s="1" t="s">
        <v>13</v>
      </c>
      <c r="F84">
        <v>4186</v>
      </c>
      <c r="G84" s="1" t="s">
        <v>99</v>
      </c>
      <c r="H84" s="1">
        <v>2930799.5</v>
      </c>
      <c r="I84" s="1">
        <v>2917201.94</v>
      </c>
      <c r="J84" s="1">
        <v>68568.3</v>
      </c>
      <c r="K84" s="1">
        <f>_SELECT_u_city_AS_Город_TO_CHAR_f_rental_start_YYYY_MM_AS_Месяц__202609232054[[#This Row],[Чистая Выручка]] * (1 + $B$4)</f>
        <v>2917201.94</v>
      </c>
      <c r="L84" s="1">
        <f>_SELECT_u_city_AS_Город_TO_CHAR_f_rental_start_YYYY_MM_AS_Месяц__202609232054[[#This Row],[Расходы на Ремонт]] * (1 + $B$5)</f>
        <v>68568.3</v>
      </c>
      <c r="M8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2848633.64</v>
      </c>
    </row>
    <row r="85" spans="3:13" x14ac:dyDescent="0.25">
      <c r="C85" s="1" t="s">
        <v>8</v>
      </c>
      <c r="D85" s="2">
        <v>45413</v>
      </c>
      <c r="E85" s="1" t="s">
        <v>15</v>
      </c>
      <c r="F85">
        <v>4089</v>
      </c>
      <c r="G85" s="1" t="s">
        <v>100</v>
      </c>
      <c r="H85" s="1">
        <v>2854250.5</v>
      </c>
      <c r="I85" s="1">
        <v>2840120.08</v>
      </c>
      <c r="J85" s="1">
        <v>50868.45</v>
      </c>
      <c r="K85" s="1">
        <f>_SELECT_u_city_AS_Город_TO_CHAR_f_rental_start_YYYY_MM_AS_Месяц__202609232054[[#This Row],[Чистая Выручка]] * (1 + $B$4)</f>
        <v>2840120.08</v>
      </c>
      <c r="L85" s="1">
        <f>_SELECT_u_city_AS_Город_TO_CHAR_f_rental_start_YYYY_MM_AS_Месяц__202609232054[[#This Row],[Расходы на Ремонт]] * (1 + $B$5)</f>
        <v>50868.45</v>
      </c>
      <c r="M8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2789251.63</v>
      </c>
    </row>
    <row r="86" spans="3:13" x14ac:dyDescent="0.25">
      <c r="C86" s="1" t="s">
        <v>17</v>
      </c>
      <c r="D86" s="2">
        <v>45413</v>
      </c>
      <c r="E86" s="1" t="s">
        <v>9</v>
      </c>
      <c r="F86">
        <v>4232</v>
      </c>
      <c r="G86" s="1" t="s">
        <v>101</v>
      </c>
      <c r="H86" s="1">
        <v>2926157.5</v>
      </c>
      <c r="I86" s="1">
        <v>2911529.33</v>
      </c>
      <c r="J86" s="1">
        <v>0</v>
      </c>
      <c r="K86" s="1">
        <f>_SELECT_u_city_AS_Город_TO_CHAR_f_rental_start_YYYY_MM_AS_Месяц__202609232054[[#This Row],[Чистая Выручка]] * (1 + $B$4)</f>
        <v>2911529.33</v>
      </c>
      <c r="L86" s="1">
        <f>_SELECT_u_city_AS_Город_TO_CHAR_f_rental_start_YYYY_MM_AS_Месяц__202609232054[[#This Row],[Расходы на Ремонт]] * (1 + $B$5)</f>
        <v>0</v>
      </c>
      <c r="M8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2911529.33</v>
      </c>
    </row>
    <row r="87" spans="3:13" x14ac:dyDescent="0.25">
      <c r="C87" s="1" t="s">
        <v>17</v>
      </c>
      <c r="D87" s="2">
        <v>45413</v>
      </c>
      <c r="E87" s="1" t="s">
        <v>11</v>
      </c>
      <c r="F87">
        <v>4178</v>
      </c>
      <c r="G87" s="1" t="s">
        <v>102</v>
      </c>
      <c r="H87" s="1">
        <v>2924477</v>
      </c>
      <c r="I87" s="1">
        <v>2911008.35</v>
      </c>
      <c r="J87" s="1">
        <v>141945.75</v>
      </c>
      <c r="K87" s="1">
        <f>_SELECT_u_city_AS_Город_TO_CHAR_f_rental_start_YYYY_MM_AS_Месяц__202609232054[[#This Row],[Чистая Выручка]] * (1 + $B$4)</f>
        <v>2911008.35</v>
      </c>
      <c r="L87" s="1">
        <f>_SELECT_u_city_AS_Город_TO_CHAR_f_rental_start_YYYY_MM_AS_Месяц__202609232054[[#This Row],[Расходы на Ремонт]] * (1 + $B$5)</f>
        <v>141945.75</v>
      </c>
      <c r="M8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2769062.6</v>
      </c>
    </row>
    <row r="88" spans="3:13" x14ac:dyDescent="0.25">
      <c r="C88" s="1" t="s">
        <v>17</v>
      </c>
      <c r="D88" s="2">
        <v>45413</v>
      </c>
      <c r="E88" s="1" t="s">
        <v>13</v>
      </c>
      <c r="F88">
        <v>4315</v>
      </c>
      <c r="G88" s="1" t="s">
        <v>103</v>
      </c>
      <c r="H88" s="1">
        <v>3054318</v>
      </c>
      <c r="I88" s="1">
        <v>3039987.68</v>
      </c>
      <c r="J88" s="1">
        <v>70651.788</v>
      </c>
      <c r="K88" s="1">
        <f>_SELECT_u_city_AS_Город_TO_CHAR_f_rental_start_YYYY_MM_AS_Месяц__202609232054[[#This Row],[Чистая Выручка]] * (1 + $B$4)</f>
        <v>3039987.68</v>
      </c>
      <c r="L88" s="1">
        <f>_SELECT_u_city_AS_Город_TO_CHAR_f_rental_start_YYYY_MM_AS_Месяц__202609232054[[#This Row],[Расходы на Ремонт]] * (1 + $B$5)</f>
        <v>70651.788</v>
      </c>
      <c r="M8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2969335.892</v>
      </c>
    </row>
    <row r="89" spans="3:13" x14ac:dyDescent="0.25">
      <c r="C89" s="1" t="s">
        <v>17</v>
      </c>
      <c r="D89" s="2">
        <v>45413</v>
      </c>
      <c r="E89" s="1" t="s">
        <v>15</v>
      </c>
      <c r="F89">
        <v>4152</v>
      </c>
      <c r="G89" s="1" t="s">
        <v>104</v>
      </c>
      <c r="H89" s="1">
        <v>2873774.5</v>
      </c>
      <c r="I89" s="1">
        <v>2859238.17</v>
      </c>
      <c r="J89" s="1">
        <v>50763.851999999999</v>
      </c>
      <c r="K89" s="1">
        <f>_SELECT_u_city_AS_Город_TO_CHAR_f_rental_start_YYYY_MM_AS_Месяц__202609232054[[#This Row],[Чистая Выручка]] * (1 + $B$4)</f>
        <v>2859238.17</v>
      </c>
      <c r="L89" s="1">
        <f>_SELECT_u_city_AS_Город_TO_CHAR_f_rental_start_YYYY_MM_AS_Месяц__202609232054[[#This Row],[Расходы на Ремонт]] * (1 + $B$5)</f>
        <v>50763.851999999999</v>
      </c>
      <c r="M8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2808474.318</v>
      </c>
    </row>
    <row r="90" spans="3:13" x14ac:dyDescent="0.25">
      <c r="C90" s="1" t="s">
        <v>22</v>
      </c>
      <c r="D90" s="2">
        <v>45413</v>
      </c>
      <c r="E90" s="1" t="s">
        <v>9</v>
      </c>
      <c r="F90">
        <v>4353</v>
      </c>
      <c r="G90" s="1" t="s">
        <v>105</v>
      </c>
      <c r="H90" s="1">
        <v>3057205</v>
      </c>
      <c r="I90" s="1">
        <v>3042045.85</v>
      </c>
      <c r="J90" s="1">
        <v>0</v>
      </c>
      <c r="K90" s="1">
        <f>_SELECT_u_city_AS_Город_TO_CHAR_f_rental_start_YYYY_MM_AS_Месяц__202609232054[[#This Row],[Чистая Выручка]] * (1 + $B$4)</f>
        <v>3042045.85</v>
      </c>
      <c r="L90" s="1">
        <f>_SELECT_u_city_AS_Город_TO_CHAR_f_rental_start_YYYY_MM_AS_Месяц__202609232054[[#This Row],[Расходы на Ремонт]] * (1 + $B$5)</f>
        <v>0</v>
      </c>
      <c r="M9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3042045.85</v>
      </c>
    </row>
    <row r="91" spans="3:13" x14ac:dyDescent="0.25">
      <c r="C91" s="1" t="s">
        <v>22</v>
      </c>
      <c r="D91" s="2">
        <v>45413</v>
      </c>
      <c r="E91" s="1" t="s">
        <v>11</v>
      </c>
      <c r="F91">
        <v>4194</v>
      </c>
      <c r="G91" s="1" t="s">
        <v>106</v>
      </c>
      <c r="H91" s="1">
        <v>2905717</v>
      </c>
      <c r="I91" s="1">
        <v>2891382.83</v>
      </c>
      <c r="J91" s="1">
        <v>143013.625</v>
      </c>
      <c r="K91" s="1">
        <f>_SELECT_u_city_AS_Город_TO_CHAR_f_rental_start_YYYY_MM_AS_Месяц__202609232054[[#This Row],[Чистая Выручка]] * (1 + $B$4)</f>
        <v>2891382.83</v>
      </c>
      <c r="L91" s="1">
        <f>_SELECT_u_city_AS_Город_TO_CHAR_f_rental_start_YYYY_MM_AS_Месяц__202609232054[[#This Row],[Расходы на Ремонт]] * (1 + $B$5)</f>
        <v>143013.625</v>
      </c>
      <c r="M9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2748369.2050000001</v>
      </c>
    </row>
    <row r="92" spans="3:13" x14ac:dyDescent="0.25">
      <c r="C92" s="1" t="s">
        <v>22</v>
      </c>
      <c r="D92" s="2">
        <v>45413</v>
      </c>
      <c r="E92" s="1" t="s">
        <v>13</v>
      </c>
      <c r="F92">
        <v>4399</v>
      </c>
      <c r="G92" s="1" t="s">
        <v>107</v>
      </c>
      <c r="H92" s="1">
        <v>3056494.5</v>
      </c>
      <c r="I92" s="1">
        <v>3040886.96</v>
      </c>
      <c r="J92" s="1">
        <v>71844.275999999998</v>
      </c>
      <c r="K92" s="1">
        <f>_SELECT_u_city_AS_Город_TO_CHAR_f_rental_start_YYYY_MM_AS_Месяц__202609232054[[#This Row],[Чистая Выручка]] * (1 + $B$4)</f>
        <v>3040886.96</v>
      </c>
      <c r="L92" s="1">
        <f>_SELECT_u_city_AS_Город_TO_CHAR_f_rental_start_YYYY_MM_AS_Месяц__202609232054[[#This Row],[Расходы на Ремонт]] * (1 + $B$5)</f>
        <v>71844.275999999998</v>
      </c>
      <c r="M9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2969042.6839999999</v>
      </c>
    </row>
    <row r="93" spans="3:13" x14ac:dyDescent="0.25">
      <c r="C93" s="1" t="s">
        <v>22</v>
      </c>
      <c r="D93" s="2">
        <v>45413</v>
      </c>
      <c r="E93" s="1" t="s">
        <v>15</v>
      </c>
      <c r="F93">
        <v>4136</v>
      </c>
      <c r="G93" s="1" t="s">
        <v>108</v>
      </c>
      <c r="H93" s="1">
        <v>2887652.5</v>
      </c>
      <c r="I93" s="1">
        <v>2873383.9</v>
      </c>
      <c r="J93" s="1">
        <v>50568.146999999997</v>
      </c>
      <c r="K93" s="1">
        <f>_SELECT_u_city_AS_Город_TO_CHAR_f_rental_start_YYYY_MM_AS_Месяц__202609232054[[#This Row],[Чистая Выручка]] * (1 + $B$4)</f>
        <v>2873383.9</v>
      </c>
      <c r="L93" s="1">
        <f>_SELECT_u_city_AS_Город_TO_CHAR_f_rental_start_YYYY_MM_AS_Месяц__202609232054[[#This Row],[Расходы на Ремонт]] * (1 + $B$5)</f>
        <v>50568.146999999997</v>
      </c>
      <c r="M9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2822815.753</v>
      </c>
    </row>
    <row r="94" spans="3:13" x14ac:dyDescent="0.25">
      <c r="C94" s="1" t="s">
        <v>27</v>
      </c>
      <c r="D94" s="2">
        <v>45413</v>
      </c>
      <c r="E94" s="1" t="s">
        <v>9</v>
      </c>
      <c r="F94">
        <v>4326</v>
      </c>
      <c r="G94" s="1" t="s">
        <v>109</v>
      </c>
      <c r="H94" s="1">
        <v>3032495</v>
      </c>
      <c r="I94" s="1">
        <v>3017592.43</v>
      </c>
      <c r="J94" s="1">
        <v>0</v>
      </c>
      <c r="K94" s="1">
        <f>_SELECT_u_city_AS_Город_TO_CHAR_f_rental_start_YYYY_MM_AS_Месяц__202609232054[[#This Row],[Чистая Выручка]] * (1 + $B$4)</f>
        <v>3017592.43</v>
      </c>
      <c r="L94" s="1">
        <f>_SELECT_u_city_AS_Город_TO_CHAR_f_rental_start_YYYY_MM_AS_Месяц__202609232054[[#This Row],[Расходы на Ремонт]] * (1 + $B$5)</f>
        <v>0</v>
      </c>
      <c r="M9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3017592.43</v>
      </c>
    </row>
    <row r="95" spans="3:13" x14ac:dyDescent="0.25">
      <c r="C95" s="1" t="s">
        <v>27</v>
      </c>
      <c r="D95" s="2">
        <v>45413</v>
      </c>
      <c r="E95" s="1" t="s">
        <v>11</v>
      </c>
      <c r="F95">
        <v>4136</v>
      </c>
      <c r="G95" s="1" t="s">
        <v>110</v>
      </c>
      <c r="H95" s="1">
        <v>2874943</v>
      </c>
      <c r="I95" s="1">
        <v>2861692.57</v>
      </c>
      <c r="J95" s="1">
        <v>140572.27499999999</v>
      </c>
      <c r="K95" s="1">
        <f>_SELECT_u_city_AS_Город_TO_CHAR_f_rental_start_YYYY_MM_AS_Месяц__202609232054[[#This Row],[Чистая Выручка]] * (1 + $B$4)</f>
        <v>2861692.57</v>
      </c>
      <c r="L95" s="1">
        <f>_SELECT_u_city_AS_Город_TO_CHAR_f_rental_start_YYYY_MM_AS_Месяц__202609232054[[#This Row],[Расходы на Ремонт]] * (1 + $B$5)</f>
        <v>140572.27499999999</v>
      </c>
      <c r="M9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2721120.2949999999</v>
      </c>
    </row>
    <row r="96" spans="3:13" x14ac:dyDescent="0.25">
      <c r="C96" s="1" t="s">
        <v>27</v>
      </c>
      <c r="D96" s="2">
        <v>45413</v>
      </c>
      <c r="E96" s="1" t="s">
        <v>13</v>
      </c>
      <c r="F96">
        <v>4105</v>
      </c>
      <c r="G96" s="1" t="s">
        <v>111</v>
      </c>
      <c r="H96" s="1">
        <v>2833937.5</v>
      </c>
      <c r="I96" s="1">
        <v>2820439.69</v>
      </c>
      <c r="J96" s="1">
        <v>66509.267999999996</v>
      </c>
      <c r="K96" s="1">
        <f>_SELECT_u_city_AS_Город_TO_CHAR_f_rental_start_YYYY_MM_AS_Месяц__202609232054[[#This Row],[Чистая Выручка]] * (1 + $B$4)</f>
        <v>2820439.69</v>
      </c>
      <c r="L96" s="1">
        <f>_SELECT_u_city_AS_Город_TO_CHAR_f_rental_start_YYYY_MM_AS_Месяц__202609232054[[#This Row],[Расходы на Ремонт]] * (1 + $B$5)</f>
        <v>66509.267999999996</v>
      </c>
      <c r="M9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2753930.4219999998</v>
      </c>
    </row>
    <row r="97" spans="3:13" x14ac:dyDescent="0.25">
      <c r="C97" s="1" t="s">
        <v>27</v>
      </c>
      <c r="D97" s="2">
        <v>45413</v>
      </c>
      <c r="E97" s="1" t="s">
        <v>15</v>
      </c>
      <c r="F97">
        <v>4053</v>
      </c>
      <c r="G97" s="1" t="s">
        <v>112</v>
      </c>
      <c r="H97" s="1">
        <v>2847239</v>
      </c>
      <c r="I97" s="1">
        <v>2833094.3</v>
      </c>
      <c r="J97" s="1">
        <v>50078.52</v>
      </c>
      <c r="K97" s="1">
        <f>_SELECT_u_city_AS_Город_TO_CHAR_f_rental_start_YYYY_MM_AS_Месяц__202609232054[[#This Row],[Чистая Выручка]] * (1 + $B$4)</f>
        <v>2833094.3</v>
      </c>
      <c r="L97" s="1">
        <f>_SELECT_u_city_AS_Город_TO_CHAR_f_rental_start_YYYY_MM_AS_Месяц__202609232054[[#This Row],[Расходы на Ремонт]] * (1 + $B$5)</f>
        <v>50078.52</v>
      </c>
      <c r="M9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2783015.78</v>
      </c>
    </row>
    <row r="98" spans="3:13" x14ac:dyDescent="0.25">
      <c r="C98" s="1" t="s">
        <v>32</v>
      </c>
      <c r="D98" s="2">
        <v>45413</v>
      </c>
      <c r="E98" s="1" t="s">
        <v>9</v>
      </c>
      <c r="F98">
        <v>4260</v>
      </c>
      <c r="G98" s="1" t="s">
        <v>113</v>
      </c>
      <c r="H98" s="1">
        <v>2962681.5</v>
      </c>
      <c r="I98" s="1">
        <v>2948803.96</v>
      </c>
      <c r="J98" s="1">
        <v>0</v>
      </c>
      <c r="K98" s="1">
        <f>_SELECT_u_city_AS_Город_TO_CHAR_f_rental_start_YYYY_MM_AS_Месяц__202609232054[[#This Row],[Чистая Выручка]] * (1 + $B$4)</f>
        <v>2948803.96</v>
      </c>
      <c r="L98" s="1">
        <f>_SELECT_u_city_AS_Город_TO_CHAR_f_rental_start_YYYY_MM_AS_Месяц__202609232054[[#This Row],[Расходы на Ремонт]] * (1 + $B$5)</f>
        <v>0</v>
      </c>
      <c r="M9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2948803.96</v>
      </c>
    </row>
    <row r="99" spans="3:13" x14ac:dyDescent="0.25">
      <c r="C99" s="1" t="s">
        <v>32</v>
      </c>
      <c r="D99" s="2">
        <v>45413</v>
      </c>
      <c r="E99" s="1" t="s">
        <v>11</v>
      </c>
      <c r="F99">
        <v>3993</v>
      </c>
      <c r="G99" s="1" t="s">
        <v>114</v>
      </c>
      <c r="H99" s="1">
        <v>2782044</v>
      </c>
      <c r="I99" s="1">
        <v>2768778.58</v>
      </c>
      <c r="J99" s="1">
        <v>135200.65</v>
      </c>
      <c r="K99" s="1">
        <f>_SELECT_u_city_AS_Город_TO_CHAR_f_rental_start_YYYY_MM_AS_Месяц__202609232054[[#This Row],[Чистая Выручка]] * (1 + $B$4)</f>
        <v>2768778.58</v>
      </c>
      <c r="L99" s="1">
        <f>_SELECT_u_city_AS_Город_TO_CHAR_f_rental_start_YYYY_MM_AS_Месяц__202609232054[[#This Row],[Расходы на Ремонт]] * (1 + $B$5)</f>
        <v>135200.65</v>
      </c>
      <c r="M9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2633577.9300000002</v>
      </c>
    </row>
    <row r="100" spans="3:13" x14ac:dyDescent="0.25">
      <c r="C100" s="1" t="s">
        <v>32</v>
      </c>
      <c r="D100" s="2">
        <v>45413</v>
      </c>
      <c r="E100" s="1" t="s">
        <v>13</v>
      </c>
      <c r="F100">
        <v>4232</v>
      </c>
      <c r="G100" s="1" t="s">
        <v>115</v>
      </c>
      <c r="H100" s="1">
        <v>2936682</v>
      </c>
      <c r="I100" s="1">
        <v>2923246.77</v>
      </c>
      <c r="J100" s="1">
        <v>68948.784</v>
      </c>
      <c r="K100" s="1">
        <f>_SELECT_u_city_AS_Город_TO_CHAR_f_rental_start_YYYY_MM_AS_Месяц__202609232054[[#This Row],[Чистая Выручка]] * (1 + $B$4)</f>
        <v>2923246.77</v>
      </c>
      <c r="L100" s="1">
        <f>_SELECT_u_city_AS_Город_TO_CHAR_f_rental_start_YYYY_MM_AS_Месяц__202609232054[[#This Row],[Расходы на Ремонт]] * (1 + $B$5)</f>
        <v>68948.784</v>
      </c>
      <c r="M10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2854297.986</v>
      </c>
    </row>
    <row r="101" spans="3:13" x14ac:dyDescent="0.25">
      <c r="C101" s="1" t="s">
        <v>32</v>
      </c>
      <c r="D101" s="2">
        <v>45413</v>
      </c>
      <c r="E101" s="1" t="s">
        <v>15</v>
      </c>
      <c r="F101">
        <v>3995</v>
      </c>
      <c r="G101" s="1" t="s">
        <v>116</v>
      </c>
      <c r="H101" s="1">
        <v>2805256.5</v>
      </c>
      <c r="I101" s="1">
        <v>2791833.55</v>
      </c>
      <c r="J101" s="1">
        <v>49471.415999999997</v>
      </c>
      <c r="K101" s="1">
        <f>_SELECT_u_city_AS_Город_TO_CHAR_f_rental_start_YYYY_MM_AS_Месяц__202609232054[[#This Row],[Чистая Выручка]] * (1 + $B$4)</f>
        <v>2791833.55</v>
      </c>
      <c r="L101" s="1">
        <f>_SELECT_u_city_AS_Город_TO_CHAR_f_rental_start_YYYY_MM_AS_Месяц__202609232054[[#This Row],[Расходы на Ремонт]] * (1 + $B$5)</f>
        <v>49471.415999999997</v>
      </c>
      <c r="M10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2742362.1339999996</v>
      </c>
    </row>
    <row r="102" spans="3:13" x14ac:dyDescent="0.25">
      <c r="C102" s="1" t="s">
        <v>8</v>
      </c>
      <c r="D102" s="2">
        <v>45444</v>
      </c>
      <c r="E102" s="1" t="s">
        <v>9</v>
      </c>
      <c r="F102">
        <v>4063</v>
      </c>
      <c r="G102" s="1" t="s">
        <v>117</v>
      </c>
      <c r="H102" s="1">
        <v>2830550.5</v>
      </c>
      <c r="I102" s="1">
        <v>2816783.65</v>
      </c>
      <c r="J102" s="1">
        <v>0</v>
      </c>
      <c r="K102" s="1">
        <f>_SELECT_u_city_AS_Город_TO_CHAR_f_rental_start_YYYY_MM_AS_Месяц__202609232054[[#This Row],[Чистая Выручка]] * (1 + $B$4)</f>
        <v>2816783.65</v>
      </c>
      <c r="L102" s="1">
        <f>_SELECT_u_city_AS_Город_TO_CHAR_f_rental_start_YYYY_MM_AS_Месяц__202609232054[[#This Row],[Расходы на Ремонт]] * (1 + $B$5)</f>
        <v>0</v>
      </c>
      <c r="M10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2816783.65</v>
      </c>
    </row>
    <row r="103" spans="3:13" x14ac:dyDescent="0.25">
      <c r="C103" s="1" t="s">
        <v>8</v>
      </c>
      <c r="D103" s="2">
        <v>45444</v>
      </c>
      <c r="E103" s="1" t="s">
        <v>11</v>
      </c>
      <c r="F103">
        <v>4102</v>
      </c>
      <c r="G103" s="1" t="s">
        <v>118</v>
      </c>
      <c r="H103" s="1">
        <v>2854370.5</v>
      </c>
      <c r="I103" s="1">
        <v>2840100.48</v>
      </c>
      <c r="J103" s="1">
        <v>140288.95000000001</v>
      </c>
      <c r="K103" s="1">
        <f>_SELECT_u_city_AS_Город_TO_CHAR_f_rental_start_YYYY_MM_AS_Месяц__202609232054[[#This Row],[Чистая Выручка]] * (1 + $B$4)</f>
        <v>2840100.48</v>
      </c>
      <c r="L103" s="1">
        <f>_SELECT_u_city_AS_Город_TO_CHAR_f_rental_start_YYYY_MM_AS_Месяц__202609232054[[#This Row],[Расходы на Ремонт]] * (1 + $B$5)</f>
        <v>140288.95000000001</v>
      </c>
      <c r="M10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2699811.53</v>
      </c>
    </row>
    <row r="104" spans="3:13" x14ac:dyDescent="0.25">
      <c r="C104" s="1" t="s">
        <v>8</v>
      </c>
      <c r="D104" s="2">
        <v>45444</v>
      </c>
      <c r="E104" s="1" t="s">
        <v>13</v>
      </c>
      <c r="F104">
        <v>4143</v>
      </c>
      <c r="G104" s="1" t="s">
        <v>119</v>
      </c>
      <c r="H104" s="1">
        <v>2868607.5</v>
      </c>
      <c r="I104" s="1">
        <v>2854329.85</v>
      </c>
      <c r="J104" s="1">
        <v>66504.792000000001</v>
      </c>
      <c r="K104" s="1">
        <f>_SELECT_u_city_AS_Город_TO_CHAR_f_rental_start_YYYY_MM_AS_Месяц__202609232054[[#This Row],[Чистая Выручка]] * (1 + $B$4)</f>
        <v>2854329.85</v>
      </c>
      <c r="L104" s="1">
        <f>_SELECT_u_city_AS_Город_TO_CHAR_f_rental_start_YYYY_MM_AS_Месяц__202609232054[[#This Row],[Расходы на Ремонт]] * (1 + $B$5)</f>
        <v>66504.792000000001</v>
      </c>
      <c r="M10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2787825.0580000002</v>
      </c>
    </row>
    <row r="105" spans="3:13" x14ac:dyDescent="0.25">
      <c r="C105" s="1" t="s">
        <v>8</v>
      </c>
      <c r="D105" s="2">
        <v>45444</v>
      </c>
      <c r="E105" s="1" t="s">
        <v>15</v>
      </c>
      <c r="F105">
        <v>4076</v>
      </c>
      <c r="G105" s="1" t="s">
        <v>120</v>
      </c>
      <c r="H105" s="1">
        <v>2836043.5</v>
      </c>
      <c r="I105" s="1">
        <v>2821136.2</v>
      </c>
      <c r="J105" s="1">
        <v>49558.067999999999</v>
      </c>
      <c r="K105" s="1">
        <f>_SELECT_u_city_AS_Город_TO_CHAR_f_rental_start_YYYY_MM_AS_Месяц__202609232054[[#This Row],[Чистая Выручка]] * (1 + $B$4)</f>
        <v>2821136.2</v>
      </c>
      <c r="L105" s="1">
        <f>_SELECT_u_city_AS_Город_TO_CHAR_f_rental_start_YYYY_MM_AS_Месяц__202609232054[[#This Row],[Расходы на Ремонт]] * (1 + $B$5)</f>
        <v>49558.067999999999</v>
      </c>
      <c r="M10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2771578.1320000002</v>
      </c>
    </row>
    <row r="106" spans="3:13" x14ac:dyDescent="0.25">
      <c r="C106" s="1" t="s">
        <v>17</v>
      </c>
      <c r="D106" s="2">
        <v>45444</v>
      </c>
      <c r="E106" s="1" t="s">
        <v>9</v>
      </c>
      <c r="F106">
        <v>4306</v>
      </c>
      <c r="G106" s="1" t="s">
        <v>121</v>
      </c>
      <c r="H106" s="1">
        <v>3002799.5</v>
      </c>
      <c r="I106" s="1">
        <v>2987782.12</v>
      </c>
      <c r="J106" s="1">
        <v>0</v>
      </c>
      <c r="K106" s="1">
        <f>_SELECT_u_city_AS_Город_TO_CHAR_f_rental_start_YYYY_MM_AS_Месяц__202609232054[[#This Row],[Чистая Выручка]] * (1 + $B$4)</f>
        <v>2987782.12</v>
      </c>
      <c r="L106" s="1">
        <f>_SELECT_u_city_AS_Город_TO_CHAR_f_rental_start_YYYY_MM_AS_Месяц__202609232054[[#This Row],[Расходы на Ремонт]] * (1 + $B$5)</f>
        <v>0</v>
      </c>
      <c r="M10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2987782.12</v>
      </c>
    </row>
    <row r="107" spans="3:13" x14ac:dyDescent="0.25">
      <c r="C107" s="1" t="s">
        <v>17</v>
      </c>
      <c r="D107" s="2">
        <v>45444</v>
      </c>
      <c r="E107" s="1" t="s">
        <v>11</v>
      </c>
      <c r="F107">
        <v>4252</v>
      </c>
      <c r="G107" s="1" t="s">
        <v>122</v>
      </c>
      <c r="H107" s="1">
        <v>2968118.5</v>
      </c>
      <c r="I107" s="1">
        <v>2953745.72</v>
      </c>
      <c r="J107" s="1">
        <v>145847.20000000001</v>
      </c>
      <c r="K107" s="1">
        <f>_SELECT_u_city_AS_Город_TO_CHAR_f_rental_start_YYYY_MM_AS_Месяц__202609232054[[#This Row],[Чистая Выручка]] * (1 + $B$4)</f>
        <v>2953745.72</v>
      </c>
      <c r="L107" s="1">
        <f>_SELECT_u_city_AS_Город_TO_CHAR_f_rental_start_YYYY_MM_AS_Месяц__202609232054[[#This Row],[Расходы на Ремонт]] * (1 + $B$5)</f>
        <v>145847.20000000001</v>
      </c>
      <c r="M10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2807898.52</v>
      </c>
    </row>
    <row r="108" spans="3:13" x14ac:dyDescent="0.25">
      <c r="C108" s="1" t="s">
        <v>17</v>
      </c>
      <c r="D108" s="2">
        <v>45444</v>
      </c>
      <c r="E108" s="1" t="s">
        <v>13</v>
      </c>
      <c r="F108">
        <v>4242</v>
      </c>
      <c r="G108" s="1" t="s">
        <v>123</v>
      </c>
      <c r="H108" s="1">
        <v>2952459.5</v>
      </c>
      <c r="I108" s="1">
        <v>2938379.63</v>
      </c>
      <c r="J108" s="1">
        <v>69903.372000000003</v>
      </c>
      <c r="K108" s="1">
        <f>_SELECT_u_city_AS_Город_TO_CHAR_f_rental_start_YYYY_MM_AS_Месяц__202609232054[[#This Row],[Чистая Выручка]] * (1 + $B$4)</f>
        <v>2938379.63</v>
      </c>
      <c r="L108" s="1">
        <f>_SELECT_u_city_AS_Город_TO_CHAR_f_rental_start_YYYY_MM_AS_Месяц__202609232054[[#This Row],[Расходы на Ремонт]] * (1 + $B$5)</f>
        <v>69903.372000000003</v>
      </c>
      <c r="M10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2868476.2579999999</v>
      </c>
    </row>
    <row r="109" spans="3:13" x14ac:dyDescent="0.25">
      <c r="C109" s="1" t="s">
        <v>17</v>
      </c>
      <c r="D109" s="2">
        <v>45444</v>
      </c>
      <c r="E109" s="1" t="s">
        <v>15</v>
      </c>
      <c r="F109">
        <v>4221</v>
      </c>
      <c r="G109" s="1" t="s">
        <v>124</v>
      </c>
      <c r="H109" s="1">
        <v>2939560.5</v>
      </c>
      <c r="I109" s="1">
        <v>2925529.69</v>
      </c>
      <c r="J109" s="1">
        <v>51938.091</v>
      </c>
      <c r="K109" s="1">
        <f>_SELECT_u_city_AS_Город_TO_CHAR_f_rental_start_YYYY_MM_AS_Месяц__202609232054[[#This Row],[Чистая Выручка]] * (1 + $B$4)</f>
        <v>2925529.69</v>
      </c>
      <c r="L109" s="1">
        <f>_SELECT_u_city_AS_Город_TO_CHAR_f_rental_start_YYYY_MM_AS_Месяц__202609232054[[#This Row],[Расходы на Ремонт]] * (1 + $B$5)</f>
        <v>51938.091</v>
      </c>
      <c r="M10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2873591.5989999999</v>
      </c>
    </row>
    <row r="110" spans="3:13" x14ac:dyDescent="0.25">
      <c r="C110" s="1" t="s">
        <v>22</v>
      </c>
      <c r="D110" s="2">
        <v>45444</v>
      </c>
      <c r="E110" s="1" t="s">
        <v>9</v>
      </c>
      <c r="F110">
        <v>4228</v>
      </c>
      <c r="G110" s="1" t="s">
        <v>125</v>
      </c>
      <c r="H110" s="1">
        <v>2948562</v>
      </c>
      <c r="I110" s="1">
        <v>2935638.05</v>
      </c>
      <c r="J110" s="1">
        <v>0</v>
      </c>
      <c r="K110" s="1">
        <f>_SELECT_u_city_AS_Город_TO_CHAR_f_rental_start_YYYY_MM_AS_Месяц__202609232054[[#This Row],[Чистая Выручка]] * (1 + $B$4)</f>
        <v>2935638.05</v>
      </c>
      <c r="L110" s="1">
        <f>_SELECT_u_city_AS_Город_TO_CHAR_f_rental_start_YYYY_MM_AS_Месяц__202609232054[[#This Row],[Расходы на Ремонт]] * (1 + $B$5)</f>
        <v>0</v>
      </c>
      <c r="M11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2935638.05</v>
      </c>
    </row>
    <row r="111" spans="3:13" x14ac:dyDescent="0.25">
      <c r="C111" s="1" t="s">
        <v>22</v>
      </c>
      <c r="D111" s="2">
        <v>45444</v>
      </c>
      <c r="E111" s="1" t="s">
        <v>11</v>
      </c>
      <c r="F111">
        <v>4251</v>
      </c>
      <c r="G111" s="1" t="s">
        <v>126</v>
      </c>
      <c r="H111" s="1">
        <v>2922786.5</v>
      </c>
      <c r="I111" s="1">
        <v>2909038.62</v>
      </c>
      <c r="J111" s="1">
        <v>143852.625</v>
      </c>
      <c r="K111" s="1">
        <f>_SELECT_u_city_AS_Город_TO_CHAR_f_rental_start_YYYY_MM_AS_Месяц__202609232054[[#This Row],[Чистая Выручка]] * (1 + $B$4)</f>
        <v>2909038.62</v>
      </c>
      <c r="L111" s="1">
        <f>_SELECT_u_city_AS_Город_TO_CHAR_f_rental_start_YYYY_MM_AS_Месяц__202609232054[[#This Row],[Расходы на Ремонт]] * (1 + $B$5)</f>
        <v>143852.625</v>
      </c>
      <c r="M11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2765185.9950000001</v>
      </c>
    </row>
    <row r="112" spans="3:13" x14ac:dyDescent="0.25">
      <c r="C112" s="1" t="s">
        <v>22</v>
      </c>
      <c r="D112" s="2">
        <v>45444</v>
      </c>
      <c r="E112" s="1" t="s">
        <v>13</v>
      </c>
      <c r="F112">
        <v>4298</v>
      </c>
      <c r="G112" s="1" t="s">
        <v>127</v>
      </c>
      <c r="H112" s="1">
        <v>2970859.5</v>
      </c>
      <c r="I112" s="1">
        <v>2955605.98</v>
      </c>
      <c r="J112" s="1">
        <v>70172.784</v>
      </c>
      <c r="K112" s="1">
        <f>_SELECT_u_city_AS_Город_TO_CHAR_f_rental_start_YYYY_MM_AS_Месяц__202609232054[[#This Row],[Чистая Выручка]] * (1 + $B$4)</f>
        <v>2955605.98</v>
      </c>
      <c r="L112" s="1">
        <f>_SELECT_u_city_AS_Город_TO_CHAR_f_rental_start_YYYY_MM_AS_Месяц__202609232054[[#This Row],[Расходы на Ремонт]] * (1 + $B$5)</f>
        <v>70172.784</v>
      </c>
      <c r="M11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2885433.196</v>
      </c>
    </row>
    <row r="113" spans="3:13" x14ac:dyDescent="0.25">
      <c r="C113" s="1" t="s">
        <v>22</v>
      </c>
      <c r="D113" s="2">
        <v>45444</v>
      </c>
      <c r="E113" s="1" t="s">
        <v>15</v>
      </c>
      <c r="F113">
        <v>4100</v>
      </c>
      <c r="G113" s="1" t="s">
        <v>128</v>
      </c>
      <c r="H113" s="1">
        <v>2882436.5</v>
      </c>
      <c r="I113" s="1">
        <v>2869093.3</v>
      </c>
      <c r="J113" s="1">
        <v>50037.084000000003</v>
      </c>
      <c r="K113" s="1">
        <f>_SELECT_u_city_AS_Город_TO_CHAR_f_rental_start_YYYY_MM_AS_Месяц__202609232054[[#This Row],[Чистая Выручка]] * (1 + $B$4)</f>
        <v>2869093.3</v>
      </c>
      <c r="L113" s="1">
        <f>_SELECT_u_city_AS_Город_TO_CHAR_f_rental_start_YYYY_MM_AS_Месяц__202609232054[[#This Row],[Расходы на Ремонт]] * (1 + $B$5)</f>
        <v>50037.084000000003</v>
      </c>
      <c r="M11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2819056.216</v>
      </c>
    </row>
    <row r="114" spans="3:13" x14ac:dyDescent="0.25">
      <c r="C114" s="1" t="s">
        <v>27</v>
      </c>
      <c r="D114" s="2">
        <v>45444</v>
      </c>
      <c r="E114" s="1" t="s">
        <v>9</v>
      </c>
      <c r="F114">
        <v>4169</v>
      </c>
      <c r="G114" s="1" t="s">
        <v>129</v>
      </c>
      <c r="H114" s="1">
        <v>2886658.5</v>
      </c>
      <c r="I114" s="1">
        <v>2872752.84</v>
      </c>
      <c r="J114" s="1">
        <v>0</v>
      </c>
      <c r="K114" s="1">
        <f>_SELECT_u_city_AS_Город_TO_CHAR_f_rental_start_YYYY_MM_AS_Месяц__202609232054[[#This Row],[Чистая Выручка]] * (1 + $B$4)</f>
        <v>2872752.84</v>
      </c>
      <c r="L114" s="1">
        <f>_SELECT_u_city_AS_Город_TO_CHAR_f_rental_start_YYYY_MM_AS_Месяц__202609232054[[#This Row],[Расходы на Ремонт]] * (1 + $B$5)</f>
        <v>0</v>
      </c>
      <c r="M11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2872752.84</v>
      </c>
    </row>
    <row r="115" spans="3:13" x14ac:dyDescent="0.25">
      <c r="C115" s="1" t="s">
        <v>27</v>
      </c>
      <c r="D115" s="2">
        <v>45444</v>
      </c>
      <c r="E115" s="1" t="s">
        <v>11</v>
      </c>
      <c r="F115">
        <v>4159</v>
      </c>
      <c r="G115" s="1" t="s">
        <v>130</v>
      </c>
      <c r="H115" s="1">
        <v>2876214</v>
      </c>
      <c r="I115" s="1">
        <v>2861941.59</v>
      </c>
      <c r="J115" s="1">
        <v>139616.4</v>
      </c>
      <c r="K115" s="1">
        <f>_SELECT_u_city_AS_Город_TO_CHAR_f_rental_start_YYYY_MM_AS_Месяц__202609232054[[#This Row],[Чистая Выручка]] * (1 + $B$4)</f>
        <v>2861941.59</v>
      </c>
      <c r="L115" s="1">
        <f>_SELECT_u_city_AS_Город_TO_CHAR_f_rental_start_YYYY_MM_AS_Месяц__202609232054[[#This Row],[Расходы на Ремонт]] * (1 + $B$5)</f>
        <v>139616.4</v>
      </c>
      <c r="M11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2722325.19</v>
      </c>
    </row>
    <row r="116" spans="3:13" x14ac:dyDescent="0.25">
      <c r="C116" s="1" t="s">
        <v>27</v>
      </c>
      <c r="D116" s="2">
        <v>45444</v>
      </c>
      <c r="E116" s="1" t="s">
        <v>13</v>
      </c>
      <c r="F116">
        <v>4227</v>
      </c>
      <c r="G116" s="1" t="s">
        <v>131</v>
      </c>
      <c r="H116" s="1">
        <v>2954968</v>
      </c>
      <c r="I116" s="1">
        <v>2941229.36</v>
      </c>
      <c r="J116" s="1">
        <v>70110.899999999994</v>
      </c>
      <c r="K116" s="1">
        <f>_SELECT_u_city_AS_Город_TO_CHAR_f_rental_start_YYYY_MM_AS_Месяц__202609232054[[#This Row],[Чистая Выручка]] * (1 + $B$4)</f>
        <v>2941229.36</v>
      </c>
      <c r="L116" s="1">
        <f>_SELECT_u_city_AS_Город_TO_CHAR_f_rental_start_YYYY_MM_AS_Месяц__202609232054[[#This Row],[Расходы на Ремонт]] * (1 + $B$5)</f>
        <v>70110.899999999994</v>
      </c>
      <c r="M11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2871118.46</v>
      </c>
    </row>
    <row r="117" spans="3:13" x14ac:dyDescent="0.25">
      <c r="C117" s="1" t="s">
        <v>27</v>
      </c>
      <c r="D117" s="2">
        <v>45444</v>
      </c>
      <c r="E117" s="1" t="s">
        <v>15</v>
      </c>
      <c r="F117">
        <v>4071</v>
      </c>
      <c r="G117" s="1" t="s">
        <v>132</v>
      </c>
      <c r="H117" s="1">
        <v>2863370</v>
      </c>
      <c r="I117" s="1">
        <v>2849519.48</v>
      </c>
      <c r="J117" s="1">
        <v>50249.781000000003</v>
      </c>
      <c r="K117" s="1">
        <f>_SELECT_u_city_AS_Город_TO_CHAR_f_rental_start_YYYY_MM_AS_Месяц__202609232054[[#This Row],[Чистая Выручка]] * (1 + $B$4)</f>
        <v>2849519.48</v>
      </c>
      <c r="L117" s="1">
        <f>_SELECT_u_city_AS_Город_TO_CHAR_f_rental_start_YYYY_MM_AS_Месяц__202609232054[[#This Row],[Расходы на Ремонт]] * (1 + $B$5)</f>
        <v>50249.781000000003</v>
      </c>
      <c r="M11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2799269.699</v>
      </c>
    </row>
    <row r="118" spans="3:13" x14ac:dyDescent="0.25">
      <c r="C118" s="1" t="s">
        <v>32</v>
      </c>
      <c r="D118" s="2">
        <v>45444</v>
      </c>
      <c r="E118" s="1" t="s">
        <v>9</v>
      </c>
      <c r="F118">
        <v>4236</v>
      </c>
      <c r="G118" s="1" t="s">
        <v>133</v>
      </c>
      <c r="H118" s="1">
        <v>2914334.5</v>
      </c>
      <c r="I118" s="1">
        <v>2899996.07</v>
      </c>
      <c r="J118" s="1">
        <v>0</v>
      </c>
      <c r="K118" s="1">
        <f>_SELECT_u_city_AS_Город_TO_CHAR_f_rental_start_YYYY_MM_AS_Месяц__202609232054[[#This Row],[Чистая Выручка]] * (1 + $B$4)</f>
        <v>2899996.07</v>
      </c>
      <c r="L118" s="1">
        <f>_SELECT_u_city_AS_Город_TO_CHAR_f_rental_start_YYYY_MM_AS_Месяц__202609232054[[#This Row],[Расходы на Ремонт]] * (1 + $B$5)</f>
        <v>0</v>
      </c>
      <c r="M11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2899996.07</v>
      </c>
    </row>
    <row r="119" spans="3:13" x14ac:dyDescent="0.25">
      <c r="C119" s="1" t="s">
        <v>32</v>
      </c>
      <c r="D119" s="2">
        <v>45444</v>
      </c>
      <c r="E119" s="1" t="s">
        <v>11</v>
      </c>
      <c r="F119">
        <v>4122</v>
      </c>
      <c r="G119" s="1" t="s">
        <v>134</v>
      </c>
      <c r="H119" s="1">
        <v>2886252.5</v>
      </c>
      <c r="I119" s="1">
        <v>2872094.73</v>
      </c>
      <c r="J119" s="1">
        <v>140685.52499999999</v>
      </c>
      <c r="K119" s="1">
        <f>_SELECT_u_city_AS_Город_TO_CHAR_f_rental_start_YYYY_MM_AS_Месяц__202609232054[[#This Row],[Чистая Выручка]] * (1 + $B$4)</f>
        <v>2872094.73</v>
      </c>
      <c r="L119" s="1">
        <f>_SELECT_u_city_AS_Город_TO_CHAR_f_rental_start_YYYY_MM_AS_Месяц__202609232054[[#This Row],[Расходы на Ремонт]] * (1 + $B$5)</f>
        <v>140685.52499999999</v>
      </c>
      <c r="M11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2731409.2050000001</v>
      </c>
    </row>
    <row r="120" spans="3:13" x14ac:dyDescent="0.25">
      <c r="C120" s="1" t="s">
        <v>32</v>
      </c>
      <c r="D120" s="2">
        <v>45444</v>
      </c>
      <c r="E120" s="1" t="s">
        <v>13</v>
      </c>
      <c r="F120">
        <v>4126</v>
      </c>
      <c r="G120" s="1" t="s">
        <v>135</v>
      </c>
      <c r="H120" s="1">
        <v>2892505</v>
      </c>
      <c r="I120" s="1">
        <v>2878682.25</v>
      </c>
      <c r="J120" s="1">
        <v>67535.088000000003</v>
      </c>
      <c r="K120" s="1">
        <f>_SELECT_u_city_AS_Город_TO_CHAR_f_rental_start_YYYY_MM_AS_Месяц__202609232054[[#This Row],[Чистая Выручка]] * (1 + $B$4)</f>
        <v>2878682.25</v>
      </c>
      <c r="L120" s="1">
        <f>_SELECT_u_city_AS_Город_TO_CHAR_f_rental_start_YYYY_MM_AS_Месяц__202609232054[[#This Row],[Расходы на Ремонт]] * (1 + $B$5)</f>
        <v>67535.088000000003</v>
      </c>
      <c r="M12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2811147.162</v>
      </c>
    </row>
    <row r="121" spans="3:13" x14ac:dyDescent="0.25">
      <c r="C121" s="1" t="s">
        <v>32</v>
      </c>
      <c r="D121" s="2">
        <v>45444</v>
      </c>
      <c r="E121" s="1" t="s">
        <v>15</v>
      </c>
      <c r="F121">
        <v>4099</v>
      </c>
      <c r="G121" s="1" t="s">
        <v>136</v>
      </c>
      <c r="H121" s="1">
        <v>2846223.5</v>
      </c>
      <c r="I121" s="1">
        <v>2832072.37</v>
      </c>
      <c r="J121" s="1">
        <v>49596.966</v>
      </c>
      <c r="K121" s="1">
        <f>_SELECT_u_city_AS_Город_TO_CHAR_f_rental_start_YYYY_MM_AS_Месяц__202609232054[[#This Row],[Чистая Выручка]] * (1 + $B$4)</f>
        <v>2832072.37</v>
      </c>
      <c r="L121" s="1">
        <f>_SELECT_u_city_AS_Город_TO_CHAR_f_rental_start_YYYY_MM_AS_Месяц__202609232054[[#This Row],[Расходы на Ремонт]] * (1 + $B$5)</f>
        <v>49596.966</v>
      </c>
      <c r="M12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2782475.4040000001</v>
      </c>
    </row>
    <row r="122" spans="3:13" x14ac:dyDescent="0.25">
      <c r="C122" s="1" t="s">
        <v>8</v>
      </c>
      <c r="D122" s="2">
        <v>45474</v>
      </c>
      <c r="E122" s="1" t="s">
        <v>9</v>
      </c>
      <c r="F122">
        <v>4200</v>
      </c>
      <c r="G122" s="1" t="s">
        <v>137</v>
      </c>
      <c r="H122" s="1">
        <v>2914469.5</v>
      </c>
      <c r="I122" s="1">
        <v>2900551.06</v>
      </c>
      <c r="J122" s="1">
        <v>0</v>
      </c>
      <c r="K122" s="1">
        <f>_SELECT_u_city_AS_Город_TO_CHAR_f_rental_start_YYYY_MM_AS_Месяц__202609232054[[#This Row],[Чистая Выручка]] * (1 + $B$4)</f>
        <v>2900551.06</v>
      </c>
      <c r="L122" s="1">
        <f>_SELECT_u_city_AS_Город_TO_CHAR_f_rental_start_YYYY_MM_AS_Месяц__202609232054[[#This Row],[Расходы на Ремонт]] * (1 + $B$5)</f>
        <v>0</v>
      </c>
      <c r="M12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2900551.06</v>
      </c>
    </row>
    <row r="123" spans="3:13" x14ac:dyDescent="0.25">
      <c r="C123" s="1" t="s">
        <v>8</v>
      </c>
      <c r="D123" s="2">
        <v>45474</v>
      </c>
      <c r="E123" s="1" t="s">
        <v>11</v>
      </c>
      <c r="F123">
        <v>4075</v>
      </c>
      <c r="G123" s="1" t="s">
        <v>138</v>
      </c>
      <c r="H123" s="1">
        <v>2854603.5</v>
      </c>
      <c r="I123" s="1">
        <v>2841441.96</v>
      </c>
      <c r="J123" s="1">
        <v>137586.45000000001</v>
      </c>
      <c r="K123" s="1">
        <f>_SELECT_u_city_AS_Город_TO_CHAR_f_rental_start_YYYY_MM_AS_Месяц__202609232054[[#This Row],[Чистая Выручка]] * (1 + $B$4)</f>
        <v>2841441.96</v>
      </c>
      <c r="L123" s="1">
        <f>_SELECT_u_city_AS_Город_TO_CHAR_f_rental_start_YYYY_MM_AS_Месяц__202609232054[[#This Row],[Расходы на Ремонт]] * (1 + $B$5)</f>
        <v>137586.45000000001</v>
      </c>
      <c r="M12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2703855.51</v>
      </c>
    </row>
    <row r="124" spans="3:13" x14ac:dyDescent="0.25">
      <c r="C124" s="1" t="s">
        <v>8</v>
      </c>
      <c r="D124" s="2">
        <v>45474</v>
      </c>
      <c r="E124" s="1" t="s">
        <v>13</v>
      </c>
      <c r="F124">
        <v>4301</v>
      </c>
      <c r="G124" s="1" t="s">
        <v>139</v>
      </c>
      <c r="H124" s="1">
        <v>2979749</v>
      </c>
      <c r="I124" s="1">
        <v>2965903.28</v>
      </c>
      <c r="J124" s="1">
        <v>69895.296000000002</v>
      </c>
      <c r="K124" s="1">
        <f>_SELECT_u_city_AS_Город_TO_CHAR_f_rental_start_YYYY_MM_AS_Месяц__202609232054[[#This Row],[Чистая Выручка]] * (1 + $B$4)</f>
        <v>2965903.28</v>
      </c>
      <c r="L124" s="1">
        <f>_SELECT_u_city_AS_Город_TO_CHAR_f_rental_start_YYYY_MM_AS_Месяц__202609232054[[#This Row],[Расходы на Ремонт]] * (1 + $B$5)</f>
        <v>69895.296000000002</v>
      </c>
      <c r="M12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2896007.9839999997</v>
      </c>
    </row>
    <row r="125" spans="3:13" x14ac:dyDescent="0.25">
      <c r="C125" s="1" t="s">
        <v>8</v>
      </c>
      <c r="D125" s="2">
        <v>45474</v>
      </c>
      <c r="E125" s="1" t="s">
        <v>15</v>
      </c>
      <c r="F125">
        <v>4048</v>
      </c>
      <c r="G125" s="1" t="s">
        <v>140</v>
      </c>
      <c r="H125" s="1">
        <v>2836190</v>
      </c>
      <c r="I125" s="1">
        <v>2822710.08</v>
      </c>
      <c r="J125" s="1">
        <v>50002.118999999999</v>
      </c>
      <c r="K125" s="1">
        <f>_SELECT_u_city_AS_Город_TO_CHAR_f_rental_start_YYYY_MM_AS_Месяц__202609232054[[#This Row],[Чистая Выручка]] * (1 + $B$4)</f>
        <v>2822710.08</v>
      </c>
      <c r="L125" s="1">
        <f>_SELECT_u_city_AS_Город_TO_CHAR_f_rental_start_YYYY_MM_AS_Месяц__202609232054[[#This Row],[Расходы на Ремонт]] * (1 + $B$5)</f>
        <v>50002.118999999999</v>
      </c>
      <c r="M12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2772707.9610000001</v>
      </c>
    </row>
    <row r="126" spans="3:13" x14ac:dyDescent="0.25">
      <c r="C126" s="1" t="s">
        <v>17</v>
      </c>
      <c r="D126" s="2">
        <v>45474</v>
      </c>
      <c r="E126" s="1" t="s">
        <v>9</v>
      </c>
      <c r="F126">
        <v>4269</v>
      </c>
      <c r="G126" s="1" t="s">
        <v>141</v>
      </c>
      <c r="H126" s="1">
        <v>2945846.5</v>
      </c>
      <c r="I126" s="1">
        <v>2932232.89</v>
      </c>
      <c r="J126" s="1">
        <v>0</v>
      </c>
      <c r="K126" s="1">
        <f>_SELECT_u_city_AS_Город_TO_CHAR_f_rental_start_YYYY_MM_AS_Месяц__202609232054[[#This Row],[Чистая Выручка]] * (1 + $B$4)</f>
        <v>2932232.89</v>
      </c>
      <c r="L126" s="1">
        <f>_SELECT_u_city_AS_Город_TO_CHAR_f_rental_start_YYYY_MM_AS_Месяц__202609232054[[#This Row],[Расходы на Ремонт]] * (1 + $B$5)</f>
        <v>0</v>
      </c>
      <c r="M12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2932232.89</v>
      </c>
    </row>
    <row r="127" spans="3:13" x14ac:dyDescent="0.25">
      <c r="C127" s="1" t="s">
        <v>17</v>
      </c>
      <c r="D127" s="2">
        <v>45474</v>
      </c>
      <c r="E127" s="1" t="s">
        <v>11</v>
      </c>
      <c r="F127">
        <v>4182</v>
      </c>
      <c r="G127" s="1" t="s">
        <v>142</v>
      </c>
      <c r="H127" s="1">
        <v>2939066</v>
      </c>
      <c r="I127" s="1">
        <v>2926292.34</v>
      </c>
      <c r="J127" s="1">
        <v>141963.22500000001</v>
      </c>
      <c r="K127" s="1">
        <f>_SELECT_u_city_AS_Город_TO_CHAR_f_rental_start_YYYY_MM_AS_Месяц__202609232054[[#This Row],[Чистая Выручка]] * (1 + $B$4)</f>
        <v>2926292.34</v>
      </c>
      <c r="L127" s="1">
        <f>_SELECT_u_city_AS_Город_TO_CHAR_f_rental_start_YYYY_MM_AS_Месяц__202609232054[[#This Row],[Расходы на Ремонт]] * (1 + $B$5)</f>
        <v>141963.22500000001</v>
      </c>
      <c r="M12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2784329.1149999998</v>
      </c>
    </row>
    <row r="128" spans="3:13" x14ac:dyDescent="0.25">
      <c r="C128" s="1" t="s">
        <v>17</v>
      </c>
      <c r="D128" s="2">
        <v>45474</v>
      </c>
      <c r="E128" s="1" t="s">
        <v>13</v>
      </c>
      <c r="F128">
        <v>4253</v>
      </c>
      <c r="G128" s="1" t="s">
        <v>143</v>
      </c>
      <c r="H128" s="1">
        <v>2978049.5</v>
      </c>
      <c r="I128" s="1">
        <v>2963739.71</v>
      </c>
      <c r="J128" s="1">
        <v>69566.399999999994</v>
      </c>
      <c r="K128" s="1">
        <f>_SELECT_u_city_AS_Город_TO_CHAR_f_rental_start_YYYY_MM_AS_Месяц__202609232054[[#This Row],[Чистая Выручка]] * (1 + $B$4)</f>
        <v>2963739.71</v>
      </c>
      <c r="L128" s="1">
        <f>_SELECT_u_city_AS_Город_TO_CHAR_f_rental_start_YYYY_MM_AS_Месяц__202609232054[[#This Row],[Расходы на Ремонт]] * (1 + $B$5)</f>
        <v>69566.399999999994</v>
      </c>
      <c r="M12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2894173.31</v>
      </c>
    </row>
    <row r="129" spans="3:13" x14ac:dyDescent="0.25">
      <c r="C129" s="1" t="s">
        <v>17</v>
      </c>
      <c r="D129" s="2">
        <v>45474</v>
      </c>
      <c r="E129" s="1" t="s">
        <v>15</v>
      </c>
      <c r="F129">
        <v>4258</v>
      </c>
      <c r="G129" s="1" t="s">
        <v>144</v>
      </c>
      <c r="H129" s="1">
        <v>2935779.5</v>
      </c>
      <c r="I129" s="1">
        <v>2922069.78</v>
      </c>
      <c r="J129" s="1">
        <v>51741.963000000003</v>
      </c>
      <c r="K129" s="1">
        <f>_SELECT_u_city_AS_Город_TO_CHAR_f_rental_start_YYYY_MM_AS_Месяц__202609232054[[#This Row],[Чистая Выручка]] * (1 + $B$4)</f>
        <v>2922069.78</v>
      </c>
      <c r="L129" s="1">
        <f>_SELECT_u_city_AS_Город_TO_CHAR_f_rental_start_YYYY_MM_AS_Месяц__202609232054[[#This Row],[Расходы на Ремонт]] * (1 + $B$5)</f>
        <v>51741.963000000003</v>
      </c>
      <c r="M12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2870327.8169999998</v>
      </c>
    </row>
    <row r="130" spans="3:13" x14ac:dyDescent="0.25">
      <c r="C130" s="1" t="s">
        <v>22</v>
      </c>
      <c r="D130" s="2">
        <v>45474</v>
      </c>
      <c r="E130" s="1" t="s">
        <v>9</v>
      </c>
      <c r="F130">
        <v>4253</v>
      </c>
      <c r="G130" s="1" t="s">
        <v>145</v>
      </c>
      <c r="H130" s="1">
        <v>2976164</v>
      </c>
      <c r="I130" s="1">
        <v>2962775.88</v>
      </c>
      <c r="J130" s="1">
        <v>0</v>
      </c>
      <c r="K130" s="1">
        <f>_SELECT_u_city_AS_Город_TO_CHAR_f_rental_start_YYYY_MM_AS_Месяц__202609232054[[#This Row],[Чистая Выручка]] * (1 + $B$4)</f>
        <v>2962775.88</v>
      </c>
      <c r="L130" s="1">
        <f>_SELECT_u_city_AS_Город_TO_CHAR_f_rental_start_YYYY_MM_AS_Месяц__202609232054[[#This Row],[Расходы на Ремонт]] * (1 + $B$5)</f>
        <v>0</v>
      </c>
      <c r="M13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2962775.88</v>
      </c>
    </row>
    <row r="131" spans="3:13" x14ac:dyDescent="0.25">
      <c r="C131" s="1" t="s">
        <v>22</v>
      </c>
      <c r="D131" s="2">
        <v>45474</v>
      </c>
      <c r="E131" s="1" t="s">
        <v>11</v>
      </c>
      <c r="F131">
        <v>4044</v>
      </c>
      <c r="G131" s="1" t="s">
        <v>146</v>
      </c>
      <c r="H131" s="1">
        <v>2845932.5</v>
      </c>
      <c r="I131" s="1">
        <v>2831849.03</v>
      </c>
      <c r="J131" s="1">
        <v>137143.70000000001</v>
      </c>
      <c r="K131" s="1">
        <f>_SELECT_u_city_AS_Город_TO_CHAR_f_rental_start_YYYY_MM_AS_Месяц__202609232054[[#This Row],[Чистая Выручка]] * (1 + $B$4)</f>
        <v>2831849.03</v>
      </c>
      <c r="L131" s="1">
        <f>_SELECT_u_city_AS_Город_TO_CHAR_f_rental_start_YYYY_MM_AS_Месяц__202609232054[[#This Row],[Расходы на Ремонт]] * (1 + $B$5)</f>
        <v>137143.70000000001</v>
      </c>
      <c r="M13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2694705.3299999996</v>
      </c>
    </row>
    <row r="132" spans="3:13" x14ac:dyDescent="0.25">
      <c r="C132" s="1" t="s">
        <v>22</v>
      </c>
      <c r="D132" s="2">
        <v>45474</v>
      </c>
      <c r="E132" s="1" t="s">
        <v>13</v>
      </c>
      <c r="F132">
        <v>4327</v>
      </c>
      <c r="G132" s="1" t="s">
        <v>147</v>
      </c>
      <c r="H132" s="1">
        <v>3001048.5</v>
      </c>
      <c r="I132" s="1">
        <v>2987094.14</v>
      </c>
      <c r="J132" s="1">
        <v>69747.06</v>
      </c>
      <c r="K132" s="1">
        <f>_SELECT_u_city_AS_Город_TO_CHAR_f_rental_start_YYYY_MM_AS_Месяц__202609232054[[#This Row],[Чистая Выручка]] * (1 + $B$4)</f>
        <v>2987094.14</v>
      </c>
      <c r="L132" s="1">
        <f>_SELECT_u_city_AS_Город_TO_CHAR_f_rental_start_YYYY_MM_AS_Месяц__202609232054[[#This Row],[Расходы на Ремонт]] * (1 + $B$5)</f>
        <v>69747.06</v>
      </c>
      <c r="M13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2917347.08</v>
      </c>
    </row>
    <row r="133" spans="3:13" x14ac:dyDescent="0.25">
      <c r="C133" s="1" t="s">
        <v>22</v>
      </c>
      <c r="D133" s="2">
        <v>45474</v>
      </c>
      <c r="E133" s="1" t="s">
        <v>15</v>
      </c>
      <c r="F133">
        <v>4109</v>
      </c>
      <c r="G133" s="1" t="s">
        <v>148</v>
      </c>
      <c r="H133" s="1">
        <v>2877559</v>
      </c>
      <c r="I133" s="1">
        <v>2864302.71</v>
      </c>
      <c r="J133" s="1">
        <v>50605.47</v>
      </c>
      <c r="K133" s="1">
        <f>_SELECT_u_city_AS_Город_TO_CHAR_f_rental_start_YYYY_MM_AS_Месяц__202609232054[[#This Row],[Чистая Выручка]] * (1 + $B$4)</f>
        <v>2864302.71</v>
      </c>
      <c r="L133" s="1">
        <f>_SELECT_u_city_AS_Город_TO_CHAR_f_rental_start_YYYY_MM_AS_Месяц__202609232054[[#This Row],[Расходы на Ремонт]] * (1 + $B$5)</f>
        <v>50605.47</v>
      </c>
      <c r="M13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2813697.2399999998</v>
      </c>
    </row>
    <row r="134" spans="3:13" x14ac:dyDescent="0.25">
      <c r="C134" s="1" t="s">
        <v>27</v>
      </c>
      <c r="D134" s="2">
        <v>45474</v>
      </c>
      <c r="E134" s="1" t="s">
        <v>9</v>
      </c>
      <c r="F134">
        <v>4142</v>
      </c>
      <c r="G134" s="1" t="s">
        <v>149</v>
      </c>
      <c r="H134" s="1">
        <v>2880229</v>
      </c>
      <c r="I134" s="1">
        <v>2866365.66</v>
      </c>
      <c r="J134" s="1">
        <v>0</v>
      </c>
      <c r="K134" s="1">
        <f>_SELECT_u_city_AS_Город_TO_CHAR_f_rental_start_YYYY_MM_AS_Месяц__202609232054[[#This Row],[Чистая Выручка]] * (1 + $B$4)</f>
        <v>2866365.66</v>
      </c>
      <c r="L134" s="1">
        <f>_SELECT_u_city_AS_Город_TO_CHAR_f_rental_start_YYYY_MM_AS_Месяц__202609232054[[#This Row],[Расходы на Ремонт]] * (1 + $B$5)</f>
        <v>0</v>
      </c>
      <c r="M13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2866365.66</v>
      </c>
    </row>
    <row r="135" spans="3:13" x14ac:dyDescent="0.25">
      <c r="C135" s="1" t="s">
        <v>27</v>
      </c>
      <c r="D135" s="2">
        <v>45474</v>
      </c>
      <c r="E135" s="1" t="s">
        <v>11</v>
      </c>
      <c r="F135">
        <v>3951</v>
      </c>
      <c r="G135" s="1" t="s">
        <v>150</v>
      </c>
      <c r="H135" s="1">
        <v>2743688.5</v>
      </c>
      <c r="I135" s="1">
        <v>2730674.2</v>
      </c>
      <c r="J135" s="1">
        <v>132878.92499999999</v>
      </c>
      <c r="K135" s="1">
        <f>_SELECT_u_city_AS_Город_TO_CHAR_f_rental_start_YYYY_MM_AS_Месяц__202609232054[[#This Row],[Чистая Выручка]] * (1 + $B$4)</f>
        <v>2730674.2</v>
      </c>
      <c r="L135" s="1">
        <f>_SELECT_u_city_AS_Город_TO_CHAR_f_rental_start_YYYY_MM_AS_Месяц__202609232054[[#This Row],[Расходы на Ремонт]] * (1 + $B$5)</f>
        <v>132878.92499999999</v>
      </c>
      <c r="M13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2597795.2750000004</v>
      </c>
    </row>
    <row r="136" spans="3:13" x14ac:dyDescent="0.25">
      <c r="C136" s="1" t="s">
        <v>27</v>
      </c>
      <c r="D136" s="2">
        <v>45474</v>
      </c>
      <c r="E136" s="1" t="s">
        <v>13</v>
      </c>
      <c r="F136">
        <v>4104</v>
      </c>
      <c r="G136" s="1" t="s">
        <v>151</v>
      </c>
      <c r="H136" s="1">
        <v>2866709</v>
      </c>
      <c r="I136" s="1">
        <v>2853398.06</v>
      </c>
      <c r="J136" s="1">
        <v>67493.436000000002</v>
      </c>
      <c r="K136" s="1">
        <f>_SELECT_u_city_AS_Город_TO_CHAR_f_rental_start_YYYY_MM_AS_Месяц__202609232054[[#This Row],[Чистая Выручка]] * (1 + $B$4)</f>
        <v>2853398.06</v>
      </c>
      <c r="L136" s="1">
        <f>_SELECT_u_city_AS_Город_TO_CHAR_f_rental_start_YYYY_MM_AS_Месяц__202609232054[[#This Row],[Расходы на Ремонт]] * (1 + $B$5)</f>
        <v>67493.436000000002</v>
      </c>
      <c r="M13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2785904.6239999998</v>
      </c>
    </row>
    <row r="137" spans="3:13" x14ac:dyDescent="0.25">
      <c r="C137" s="1" t="s">
        <v>27</v>
      </c>
      <c r="D137" s="2">
        <v>45474</v>
      </c>
      <c r="E137" s="1" t="s">
        <v>15</v>
      </c>
      <c r="F137">
        <v>4074</v>
      </c>
      <c r="G137" s="1" t="s">
        <v>152</v>
      </c>
      <c r="H137" s="1">
        <v>2873817.5</v>
      </c>
      <c r="I137" s="1">
        <v>2861562.98</v>
      </c>
      <c r="J137" s="1">
        <v>50047.218000000001</v>
      </c>
      <c r="K137" s="1">
        <f>_SELECT_u_city_AS_Город_TO_CHAR_f_rental_start_YYYY_MM_AS_Месяц__202609232054[[#This Row],[Чистая Выручка]] * (1 + $B$4)</f>
        <v>2861562.98</v>
      </c>
      <c r="L137" s="1">
        <f>_SELECT_u_city_AS_Город_TO_CHAR_f_rental_start_YYYY_MM_AS_Месяц__202609232054[[#This Row],[Расходы на Ремонт]] * (1 + $B$5)</f>
        <v>50047.218000000001</v>
      </c>
      <c r="M13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2811515.7620000001</v>
      </c>
    </row>
    <row r="138" spans="3:13" x14ac:dyDescent="0.25">
      <c r="C138" s="1" t="s">
        <v>32</v>
      </c>
      <c r="D138" s="2">
        <v>45474</v>
      </c>
      <c r="E138" s="1" t="s">
        <v>9</v>
      </c>
      <c r="F138">
        <v>4124</v>
      </c>
      <c r="G138" s="1" t="s">
        <v>153</v>
      </c>
      <c r="H138" s="1">
        <v>2849028</v>
      </c>
      <c r="I138" s="1">
        <v>2835054.69</v>
      </c>
      <c r="J138" s="1">
        <v>0</v>
      </c>
      <c r="K138" s="1">
        <f>_SELECT_u_city_AS_Город_TO_CHAR_f_rental_start_YYYY_MM_AS_Месяц__202609232054[[#This Row],[Чистая Выручка]] * (1 + $B$4)</f>
        <v>2835054.69</v>
      </c>
      <c r="L138" s="1">
        <f>_SELECT_u_city_AS_Город_TO_CHAR_f_rental_start_YYYY_MM_AS_Месяц__202609232054[[#This Row],[Расходы на Ремонт]] * (1 + $B$5)</f>
        <v>0</v>
      </c>
      <c r="M13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2835054.69</v>
      </c>
    </row>
    <row r="139" spans="3:13" x14ac:dyDescent="0.25">
      <c r="C139" s="1" t="s">
        <v>32</v>
      </c>
      <c r="D139" s="2">
        <v>45474</v>
      </c>
      <c r="E139" s="1" t="s">
        <v>11</v>
      </c>
      <c r="F139">
        <v>4085</v>
      </c>
      <c r="G139" s="1" t="s">
        <v>154</v>
      </c>
      <c r="H139" s="1">
        <v>2859789.5</v>
      </c>
      <c r="I139" s="1">
        <v>2846456.32</v>
      </c>
      <c r="J139" s="1">
        <v>142079.125</v>
      </c>
      <c r="K139" s="1">
        <f>_SELECT_u_city_AS_Город_TO_CHAR_f_rental_start_YYYY_MM_AS_Месяц__202609232054[[#This Row],[Чистая Выручка]] * (1 + $B$4)</f>
        <v>2846456.32</v>
      </c>
      <c r="L139" s="1">
        <f>_SELECT_u_city_AS_Город_TO_CHAR_f_rental_start_YYYY_MM_AS_Месяц__202609232054[[#This Row],[Расходы на Ремонт]] * (1 + $B$5)</f>
        <v>142079.125</v>
      </c>
      <c r="M13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2704377.1949999998</v>
      </c>
    </row>
    <row r="140" spans="3:13" x14ac:dyDescent="0.25">
      <c r="C140" s="1" t="s">
        <v>32</v>
      </c>
      <c r="D140" s="2">
        <v>45474</v>
      </c>
      <c r="E140" s="1" t="s">
        <v>13</v>
      </c>
      <c r="F140">
        <v>4183</v>
      </c>
      <c r="G140" s="1" t="s">
        <v>155</v>
      </c>
      <c r="H140" s="1">
        <v>2922220</v>
      </c>
      <c r="I140" s="1">
        <v>2907899.44</v>
      </c>
      <c r="J140" s="1">
        <v>68562.672000000006</v>
      </c>
      <c r="K140" s="1">
        <f>_SELECT_u_city_AS_Город_TO_CHAR_f_rental_start_YYYY_MM_AS_Месяц__202609232054[[#This Row],[Чистая Выручка]] * (1 + $B$4)</f>
        <v>2907899.44</v>
      </c>
      <c r="L140" s="1">
        <f>_SELECT_u_city_AS_Город_TO_CHAR_f_rental_start_YYYY_MM_AS_Месяц__202609232054[[#This Row],[Расходы на Ремонт]] * (1 + $B$5)</f>
        <v>68562.672000000006</v>
      </c>
      <c r="M14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2839336.7680000002</v>
      </c>
    </row>
    <row r="141" spans="3:13" x14ac:dyDescent="0.25">
      <c r="C141" s="1" t="s">
        <v>32</v>
      </c>
      <c r="D141" s="2">
        <v>45474</v>
      </c>
      <c r="E141" s="1" t="s">
        <v>15</v>
      </c>
      <c r="F141">
        <v>4025</v>
      </c>
      <c r="G141" s="1" t="s">
        <v>156</v>
      </c>
      <c r="H141" s="1">
        <v>2826134</v>
      </c>
      <c r="I141" s="1">
        <v>2812866.57</v>
      </c>
      <c r="J141" s="1">
        <v>49352.436000000002</v>
      </c>
      <c r="K141" s="1">
        <f>_SELECT_u_city_AS_Город_TO_CHAR_f_rental_start_YYYY_MM_AS_Месяц__202609232054[[#This Row],[Чистая Выручка]] * (1 + $B$4)</f>
        <v>2812866.57</v>
      </c>
      <c r="L141" s="1">
        <f>_SELECT_u_city_AS_Город_TO_CHAR_f_rental_start_YYYY_MM_AS_Месяц__202609232054[[#This Row],[Расходы на Ремонт]] * (1 + $B$5)</f>
        <v>49352.436000000002</v>
      </c>
      <c r="M14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2763514.1339999996</v>
      </c>
    </row>
    <row r="142" spans="3:13" x14ac:dyDescent="0.25">
      <c r="C142" s="1" t="s">
        <v>8</v>
      </c>
      <c r="D142" s="2">
        <v>45505</v>
      </c>
      <c r="E142" s="1" t="s">
        <v>9</v>
      </c>
      <c r="F142">
        <v>4077</v>
      </c>
      <c r="G142" s="1" t="s">
        <v>157</v>
      </c>
      <c r="H142" s="1">
        <v>2872752.5</v>
      </c>
      <c r="I142" s="1">
        <v>2859060.18</v>
      </c>
      <c r="J142" s="1">
        <v>0</v>
      </c>
      <c r="K142" s="1">
        <f>_SELECT_u_city_AS_Город_TO_CHAR_f_rental_start_YYYY_MM_AS_Месяц__202609232054[[#This Row],[Чистая Выручка]] * (1 + $B$4)</f>
        <v>2859060.18</v>
      </c>
      <c r="L142" s="1">
        <f>_SELECT_u_city_AS_Город_TO_CHAR_f_rental_start_YYYY_MM_AS_Месяц__202609232054[[#This Row],[Расходы на Ремонт]] * (1 + $B$5)</f>
        <v>0</v>
      </c>
      <c r="M14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2859060.18</v>
      </c>
    </row>
    <row r="143" spans="3:13" x14ac:dyDescent="0.25">
      <c r="C143" s="1" t="s">
        <v>8</v>
      </c>
      <c r="D143" s="2">
        <v>45505</v>
      </c>
      <c r="E143" s="1" t="s">
        <v>11</v>
      </c>
      <c r="F143">
        <v>4192</v>
      </c>
      <c r="G143" s="1" t="s">
        <v>158</v>
      </c>
      <c r="H143" s="1">
        <v>2909760.5</v>
      </c>
      <c r="I143" s="1">
        <v>2895378.82</v>
      </c>
      <c r="J143" s="1">
        <v>140596.625</v>
      </c>
      <c r="K143" s="1">
        <f>_SELECT_u_city_AS_Город_TO_CHAR_f_rental_start_YYYY_MM_AS_Месяц__202609232054[[#This Row],[Чистая Выручка]] * (1 + $B$4)</f>
        <v>2895378.82</v>
      </c>
      <c r="L143" s="1">
        <f>_SELECT_u_city_AS_Город_TO_CHAR_f_rental_start_YYYY_MM_AS_Месяц__202609232054[[#This Row],[Расходы на Ремонт]] * (1 + $B$5)</f>
        <v>140596.625</v>
      </c>
      <c r="M14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2754782.1949999998</v>
      </c>
    </row>
    <row r="144" spans="3:13" x14ac:dyDescent="0.25">
      <c r="C144" s="1" t="s">
        <v>8</v>
      </c>
      <c r="D144" s="2">
        <v>45505</v>
      </c>
      <c r="E144" s="1" t="s">
        <v>13</v>
      </c>
      <c r="F144">
        <v>4128</v>
      </c>
      <c r="G144" s="1" t="s">
        <v>159</v>
      </c>
      <c r="H144" s="1">
        <v>2887185</v>
      </c>
      <c r="I144" s="1">
        <v>2873202.59</v>
      </c>
      <c r="J144" s="1">
        <v>68204.604000000007</v>
      </c>
      <c r="K144" s="1">
        <f>_SELECT_u_city_AS_Город_TO_CHAR_f_rental_start_YYYY_MM_AS_Месяц__202609232054[[#This Row],[Чистая Выручка]] * (1 + $B$4)</f>
        <v>2873202.59</v>
      </c>
      <c r="L144" s="1">
        <f>_SELECT_u_city_AS_Город_TO_CHAR_f_rental_start_YYYY_MM_AS_Месяц__202609232054[[#This Row],[Расходы на Ремонт]] * (1 + $B$5)</f>
        <v>68204.604000000007</v>
      </c>
      <c r="M14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2804997.986</v>
      </c>
    </row>
    <row r="145" spans="3:13" x14ac:dyDescent="0.25">
      <c r="C145" s="1" t="s">
        <v>8</v>
      </c>
      <c r="D145" s="2">
        <v>45505</v>
      </c>
      <c r="E145" s="1" t="s">
        <v>15</v>
      </c>
      <c r="F145">
        <v>4054</v>
      </c>
      <c r="G145" s="1" t="s">
        <v>160</v>
      </c>
      <c r="H145" s="1">
        <v>2821719.5</v>
      </c>
      <c r="I145" s="1">
        <v>2807656.67</v>
      </c>
      <c r="J145" s="1">
        <v>49398.767999999996</v>
      </c>
      <c r="K145" s="1">
        <f>_SELECT_u_city_AS_Город_TO_CHAR_f_rental_start_YYYY_MM_AS_Месяц__202609232054[[#This Row],[Чистая Выручка]] * (1 + $B$4)</f>
        <v>2807656.67</v>
      </c>
      <c r="L145" s="1">
        <f>_SELECT_u_city_AS_Город_TO_CHAR_f_rental_start_YYYY_MM_AS_Месяц__202609232054[[#This Row],[Расходы на Ремонт]] * (1 + $B$5)</f>
        <v>49398.767999999996</v>
      </c>
      <c r="M14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2758257.9019999998</v>
      </c>
    </row>
    <row r="146" spans="3:13" x14ac:dyDescent="0.25">
      <c r="C146" s="1" t="s">
        <v>17</v>
      </c>
      <c r="D146" s="2">
        <v>45505</v>
      </c>
      <c r="E146" s="1" t="s">
        <v>9</v>
      </c>
      <c r="F146">
        <v>4196</v>
      </c>
      <c r="G146" s="1" t="s">
        <v>161</v>
      </c>
      <c r="H146" s="1">
        <v>2910575.5</v>
      </c>
      <c r="I146" s="1">
        <v>2896203.38</v>
      </c>
      <c r="J146" s="1">
        <v>0</v>
      </c>
      <c r="K146" s="1">
        <f>_SELECT_u_city_AS_Город_TO_CHAR_f_rental_start_YYYY_MM_AS_Месяц__202609232054[[#This Row],[Чистая Выручка]] * (1 + $B$4)</f>
        <v>2896203.38</v>
      </c>
      <c r="L146" s="1">
        <f>_SELECT_u_city_AS_Город_TO_CHAR_f_rental_start_YYYY_MM_AS_Месяц__202609232054[[#This Row],[Расходы на Ремонт]] * (1 + $B$5)</f>
        <v>0</v>
      </c>
      <c r="M14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2896203.38</v>
      </c>
    </row>
    <row r="147" spans="3:13" x14ac:dyDescent="0.25">
      <c r="C147" s="1" t="s">
        <v>17</v>
      </c>
      <c r="D147" s="2">
        <v>45505</v>
      </c>
      <c r="E147" s="1" t="s">
        <v>11</v>
      </c>
      <c r="F147">
        <v>4114</v>
      </c>
      <c r="G147" s="1" t="s">
        <v>162</v>
      </c>
      <c r="H147" s="1">
        <v>2876398</v>
      </c>
      <c r="I147" s="1">
        <v>2863353.71</v>
      </c>
      <c r="J147" s="1">
        <v>142137.95000000001</v>
      </c>
      <c r="K147" s="1">
        <f>_SELECT_u_city_AS_Город_TO_CHAR_f_rental_start_YYYY_MM_AS_Месяц__202609232054[[#This Row],[Чистая Выручка]] * (1 + $B$4)</f>
        <v>2863353.71</v>
      </c>
      <c r="L147" s="1">
        <f>_SELECT_u_city_AS_Город_TO_CHAR_f_rental_start_YYYY_MM_AS_Месяц__202609232054[[#This Row],[Расходы на Ремонт]] * (1 + $B$5)</f>
        <v>142137.95000000001</v>
      </c>
      <c r="M14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2721215.76</v>
      </c>
    </row>
    <row r="148" spans="3:13" x14ac:dyDescent="0.25">
      <c r="C148" s="1" t="s">
        <v>17</v>
      </c>
      <c r="D148" s="2">
        <v>45505</v>
      </c>
      <c r="E148" s="1" t="s">
        <v>13</v>
      </c>
      <c r="F148">
        <v>4158</v>
      </c>
      <c r="G148" s="1" t="s">
        <v>163</v>
      </c>
      <c r="H148" s="1">
        <v>2898450.5</v>
      </c>
      <c r="I148" s="1">
        <v>2884871.39</v>
      </c>
      <c r="J148" s="1">
        <v>68341.679999999993</v>
      </c>
      <c r="K148" s="1">
        <f>_SELECT_u_city_AS_Город_TO_CHAR_f_rental_start_YYYY_MM_AS_Месяц__202609232054[[#This Row],[Чистая Выручка]] * (1 + $B$4)</f>
        <v>2884871.39</v>
      </c>
      <c r="L148" s="1">
        <f>_SELECT_u_city_AS_Город_TO_CHAR_f_rental_start_YYYY_MM_AS_Месяц__202609232054[[#This Row],[Расходы на Ремонт]] * (1 + $B$5)</f>
        <v>68341.679999999993</v>
      </c>
      <c r="M14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2816529.71</v>
      </c>
    </row>
    <row r="149" spans="3:13" x14ac:dyDescent="0.25">
      <c r="C149" s="1" t="s">
        <v>17</v>
      </c>
      <c r="D149" s="2">
        <v>45505</v>
      </c>
      <c r="E149" s="1" t="s">
        <v>15</v>
      </c>
      <c r="F149">
        <v>4135</v>
      </c>
      <c r="G149" s="1" t="s">
        <v>164</v>
      </c>
      <c r="H149" s="1">
        <v>2891162.5</v>
      </c>
      <c r="I149" s="1">
        <v>2877230.2</v>
      </c>
      <c r="J149" s="1">
        <v>50768.892</v>
      </c>
      <c r="K149" s="1">
        <f>_SELECT_u_city_AS_Город_TO_CHAR_f_rental_start_YYYY_MM_AS_Месяц__202609232054[[#This Row],[Чистая Выручка]] * (1 + $B$4)</f>
        <v>2877230.2</v>
      </c>
      <c r="L149" s="1">
        <f>_SELECT_u_city_AS_Город_TO_CHAR_f_rental_start_YYYY_MM_AS_Месяц__202609232054[[#This Row],[Расходы на Ремонт]] * (1 + $B$5)</f>
        <v>50768.892</v>
      </c>
      <c r="M14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2826461.3080000002</v>
      </c>
    </row>
    <row r="150" spans="3:13" x14ac:dyDescent="0.25">
      <c r="C150" s="1" t="s">
        <v>22</v>
      </c>
      <c r="D150" s="2">
        <v>45505</v>
      </c>
      <c r="E150" s="1" t="s">
        <v>9</v>
      </c>
      <c r="F150">
        <v>4265</v>
      </c>
      <c r="G150" s="1" t="s">
        <v>165</v>
      </c>
      <c r="H150" s="1">
        <v>2982830.5</v>
      </c>
      <c r="I150" s="1">
        <v>2967887.68</v>
      </c>
      <c r="J150" s="1">
        <v>0</v>
      </c>
      <c r="K150" s="1">
        <f>_SELECT_u_city_AS_Город_TO_CHAR_f_rental_start_YYYY_MM_AS_Месяц__202609232054[[#This Row],[Чистая Выручка]] * (1 + $B$4)</f>
        <v>2967887.68</v>
      </c>
      <c r="L150" s="1">
        <f>_SELECT_u_city_AS_Город_TO_CHAR_f_rental_start_YYYY_MM_AS_Месяц__202609232054[[#This Row],[Расходы на Ремонт]] * (1 + $B$5)</f>
        <v>0</v>
      </c>
      <c r="M15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2967887.68</v>
      </c>
    </row>
    <row r="151" spans="3:13" x14ac:dyDescent="0.25">
      <c r="C151" s="1" t="s">
        <v>22</v>
      </c>
      <c r="D151" s="2">
        <v>45505</v>
      </c>
      <c r="E151" s="1" t="s">
        <v>11</v>
      </c>
      <c r="F151">
        <v>4261</v>
      </c>
      <c r="G151" s="1" t="s">
        <v>166</v>
      </c>
      <c r="H151" s="1">
        <v>2964050.5</v>
      </c>
      <c r="I151" s="1">
        <v>2949900.1</v>
      </c>
      <c r="J151" s="1">
        <v>143728.1</v>
      </c>
      <c r="K151" s="1">
        <f>_SELECT_u_city_AS_Город_TO_CHAR_f_rental_start_YYYY_MM_AS_Месяц__202609232054[[#This Row],[Чистая Выручка]] * (1 + $B$4)</f>
        <v>2949900.1</v>
      </c>
      <c r="L151" s="1">
        <f>_SELECT_u_city_AS_Город_TO_CHAR_f_rental_start_YYYY_MM_AS_Месяц__202609232054[[#This Row],[Расходы на Ремонт]] * (1 + $B$5)</f>
        <v>143728.1</v>
      </c>
      <c r="M15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2806172</v>
      </c>
    </row>
    <row r="152" spans="3:13" x14ac:dyDescent="0.25">
      <c r="C152" s="1" t="s">
        <v>22</v>
      </c>
      <c r="D152" s="2">
        <v>45505</v>
      </c>
      <c r="E152" s="1" t="s">
        <v>13</v>
      </c>
      <c r="F152">
        <v>4323</v>
      </c>
      <c r="G152" s="1" t="s">
        <v>167</v>
      </c>
      <c r="H152" s="1">
        <v>3042169.5</v>
      </c>
      <c r="I152" s="1">
        <v>3027474.93</v>
      </c>
      <c r="J152" s="1">
        <v>71268.78</v>
      </c>
      <c r="K152" s="1">
        <f>_SELECT_u_city_AS_Город_TO_CHAR_f_rental_start_YYYY_MM_AS_Месяц__202609232054[[#This Row],[Чистая Выручка]] * (1 + $B$4)</f>
        <v>3027474.93</v>
      </c>
      <c r="L152" s="1">
        <f>_SELECT_u_city_AS_Город_TO_CHAR_f_rental_start_YYYY_MM_AS_Месяц__202609232054[[#This Row],[Расходы на Ремонт]] * (1 + $B$5)</f>
        <v>71268.78</v>
      </c>
      <c r="M15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2956206.1500000004</v>
      </c>
    </row>
    <row r="153" spans="3:13" x14ac:dyDescent="0.25">
      <c r="C153" s="1" t="s">
        <v>22</v>
      </c>
      <c r="D153" s="2">
        <v>45505</v>
      </c>
      <c r="E153" s="1" t="s">
        <v>15</v>
      </c>
      <c r="F153">
        <v>4085</v>
      </c>
      <c r="G153" s="1" t="s">
        <v>168</v>
      </c>
      <c r="H153" s="1">
        <v>2839248</v>
      </c>
      <c r="I153" s="1">
        <v>2824850.34</v>
      </c>
      <c r="J153" s="1">
        <v>49759.623</v>
      </c>
      <c r="K153" s="1">
        <f>_SELECT_u_city_AS_Город_TO_CHAR_f_rental_start_YYYY_MM_AS_Месяц__202609232054[[#This Row],[Чистая Выручка]] * (1 + $B$4)</f>
        <v>2824850.34</v>
      </c>
      <c r="L153" s="1">
        <f>_SELECT_u_city_AS_Город_TO_CHAR_f_rental_start_YYYY_MM_AS_Месяц__202609232054[[#This Row],[Расходы на Ремонт]] * (1 + $B$5)</f>
        <v>49759.623</v>
      </c>
      <c r="M15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2775090.7169999997</v>
      </c>
    </row>
    <row r="154" spans="3:13" x14ac:dyDescent="0.25">
      <c r="C154" s="1" t="s">
        <v>27</v>
      </c>
      <c r="D154" s="2">
        <v>45505</v>
      </c>
      <c r="E154" s="1" t="s">
        <v>9</v>
      </c>
      <c r="F154">
        <v>4130</v>
      </c>
      <c r="G154" s="1" t="s">
        <v>169</v>
      </c>
      <c r="H154" s="1">
        <v>2882417</v>
      </c>
      <c r="I154" s="1">
        <v>2868541.33</v>
      </c>
      <c r="J154" s="1">
        <v>0</v>
      </c>
      <c r="K154" s="1">
        <f>_SELECT_u_city_AS_Город_TO_CHAR_f_rental_start_YYYY_MM_AS_Месяц__202609232054[[#This Row],[Чистая Выручка]] * (1 + $B$4)</f>
        <v>2868541.33</v>
      </c>
      <c r="L154" s="1">
        <f>_SELECT_u_city_AS_Город_TO_CHAR_f_rental_start_YYYY_MM_AS_Месяц__202609232054[[#This Row],[Расходы на Ремонт]] * (1 + $B$5)</f>
        <v>0</v>
      </c>
      <c r="M15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2868541.33</v>
      </c>
    </row>
    <row r="155" spans="3:13" x14ac:dyDescent="0.25">
      <c r="C155" s="1" t="s">
        <v>27</v>
      </c>
      <c r="D155" s="2">
        <v>45505</v>
      </c>
      <c r="E155" s="1" t="s">
        <v>11</v>
      </c>
      <c r="F155">
        <v>4140</v>
      </c>
      <c r="G155" s="1" t="s">
        <v>170</v>
      </c>
      <c r="H155" s="1">
        <v>2924595</v>
      </c>
      <c r="I155" s="1">
        <v>2910764.66</v>
      </c>
      <c r="J155" s="1">
        <v>142391.875</v>
      </c>
      <c r="K155" s="1">
        <f>_SELECT_u_city_AS_Город_TO_CHAR_f_rental_start_YYYY_MM_AS_Месяц__202609232054[[#This Row],[Чистая Выручка]] * (1 + $B$4)</f>
        <v>2910764.66</v>
      </c>
      <c r="L155" s="1">
        <f>_SELECT_u_city_AS_Город_TO_CHAR_f_rental_start_YYYY_MM_AS_Месяц__202609232054[[#This Row],[Расходы на Ремонт]] * (1 + $B$5)</f>
        <v>142391.875</v>
      </c>
      <c r="M15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2768372.7850000001</v>
      </c>
    </row>
    <row r="156" spans="3:13" x14ac:dyDescent="0.25">
      <c r="C156" s="1" t="s">
        <v>27</v>
      </c>
      <c r="D156" s="2">
        <v>45505</v>
      </c>
      <c r="E156" s="1" t="s">
        <v>13</v>
      </c>
      <c r="F156">
        <v>4141</v>
      </c>
      <c r="G156" s="1" t="s">
        <v>171</v>
      </c>
      <c r="H156" s="1">
        <v>2909160</v>
      </c>
      <c r="I156" s="1">
        <v>2895111.11</v>
      </c>
      <c r="J156" s="1">
        <v>68070.588000000003</v>
      </c>
      <c r="K156" s="1">
        <f>_SELECT_u_city_AS_Город_TO_CHAR_f_rental_start_YYYY_MM_AS_Месяц__202609232054[[#This Row],[Чистая Выручка]] * (1 + $B$4)</f>
        <v>2895111.11</v>
      </c>
      <c r="L156" s="1">
        <f>_SELECT_u_city_AS_Город_TO_CHAR_f_rental_start_YYYY_MM_AS_Месяц__202609232054[[#This Row],[Расходы на Ремонт]] * (1 + $B$5)</f>
        <v>68070.588000000003</v>
      </c>
      <c r="M15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2827040.5219999999</v>
      </c>
    </row>
    <row r="157" spans="3:13" x14ac:dyDescent="0.25">
      <c r="C157" s="1" t="s">
        <v>27</v>
      </c>
      <c r="D157" s="2">
        <v>45505</v>
      </c>
      <c r="E157" s="1" t="s">
        <v>15</v>
      </c>
      <c r="F157">
        <v>3973</v>
      </c>
      <c r="G157" s="1" t="s">
        <v>172</v>
      </c>
      <c r="H157" s="1">
        <v>2789941</v>
      </c>
      <c r="I157" s="1">
        <v>2776023.94</v>
      </c>
      <c r="J157" s="1">
        <v>49205.178</v>
      </c>
      <c r="K157" s="1">
        <f>_SELECT_u_city_AS_Город_TO_CHAR_f_rental_start_YYYY_MM_AS_Месяц__202609232054[[#This Row],[Чистая Выручка]] * (1 + $B$4)</f>
        <v>2776023.94</v>
      </c>
      <c r="L157" s="1">
        <f>_SELECT_u_city_AS_Город_TO_CHAR_f_rental_start_YYYY_MM_AS_Месяц__202609232054[[#This Row],[Расходы на Ремонт]] * (1 + $B$5)</f>
        <v>49205.178</v>
      </c>
      <c r="M15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2726818.7620000001</v>
      </c>
    </row>
    <row r="158" spans="3:13" x14ac:dyDescent="0.25">
      <c r="C158" s="1" t="s">
        <v>32</v>
      </c>
      <c r="D158" s="2">
        <v>45505</v>
      </c>
      <c r="E158" s="1" t="s">
        <v>9</v>
      </c>
      <c r="F158">
        <v>4143</v>
      </c>
      <c r="G158" s="1" t="s">
        <v>173</v>
      </c>
      <c r="H158" s="1">
        <v>2882542</v>
      </c>
      <c r="I158" s="1">
        <v>2868500.09</v>
      </c>
      <c r="J158" s="1">
        <v>0</v>
      </c>
      <c r="K158" s="1">
        <f>_SELECT_u_city_AS_Город_TO_CHAR_f_rental_start_YYYY_MM_AS_Месяц__202609232054[[#This Row],[Чистая Выручка]] * (1 + $B$4)</f>
        <v>2868500.09</v>
      </c>
      <c r="L158" s="1">
        <f>_SELECT_u_city_AS_Город_TO_CHAR_f_rental_start_YYYY_MM_AS_Месяц__202609232054[[#This Row],[Расходы на Ремонт]] * (1 + $B$5)</f>
        <v>0</v>
      </c>
      <c r="M15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2868500.09</v>
      </c>
    </row>
    <row r="159" spans="3:13" x14ac:dyDescent="0.25">
      <c r="C159" s="1" t="s">
        <v>32</v>
      </c>
      <c r="D159" s="2">
        <v>45505</v>
      </c>
      <c r="E159" s="1" t="s">
        <v>11</v>
      </c>
      <c r="F159">
        <v>4083</v>
      </c>
      <c r="G159" s="1" t="s">
        <v>174</v>
      </c>
      <c r="H159" s="1">
        <v>2854271</v>
      </c>
      <c r="I159" s="1">
        <v>2839810.21</v>
      </c>
      <c r="J159" s="1">
        <v>139219.57500000001</v>
      </c>
      <c r="K159" s="1">
        <f>_SELECT_u_city_AS_Город_TO_CHAR_f_rental_start_YYYY_MM_AS_Месяц__202609232054[[#This Row],[Чистая Выручка]] * (1 + $B$4)</f>
        <v>2839810.21</v>
      </c>
      <c r="L159" s="1">
        <f>_SELECT_u_city_AS_Город_TO_CHAR_f_rental_start_YYYY_MM_AS_Месяц__202609232054[[#This Row],[Расходы на Ремонт]] * (1 + $B$5)</f>
        <v>139219.57500000001</v>
      </c>
      <c r="M15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2700590.6349999998</v>
      </c>
    </row>
    <row r="160" spans="3:13" x14ac:dyDescent="0.25">
      <c r="C160" s="1" t="s">
        <v>32</v>
      </c>
      <c r="D160" s="2">
        <v>45505</v>
      </c>
      <c r="E160" s="1" t="s">
        <v>13</v>
      </c>
      <c r="F160">
        <v>4243</v>
      </c>
      <c r="G160" s="1" t="s">
        <v>175</v>
      </c>
      <c r="H160" s="1">
        <v>2949642.5</v>
      </c>
      <c r="I160" s="1">
        <v>2935257.49</v>
      </c>
      <c r="J160" s="1">
        <v>68907.42</v>
      </c>
      <c r="K160" s="1">
        <f>_SELECT_u_city_AS_Город_TO_CHAR_f_rental_start_YYYY_MM_AS_Месяц__202609232054[[#This Row],[Чистая Выручка]] * (1 + $B$4)</f>
        <v>2935257.49</v>
      </c>
      <c r="L160" s="1">
        <f>_SELECT_u_city_AS_Город_TO_CHAR_f_rental_start_YYYY_MM_AS_Месяц__202609232054[[#This Row],[Расходы на Ремонт]] * (1 + $B$5)</f>
        <v>68907.42</v>
      </c>
      <c r="M16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2866350.0700000003</v>
      </c>
    </row>
    <row r="161" spans="3:13" x14ac:dyDescent="0.25">
      <c r="C161" s="1" t="s">
        <v>32</v>
      </c>
      <c r="D161" s="2">
        <v>45505</v>
      </c>
      <c r="E161" s="1" t="s">
        <v>15</v>
      </c>
      <c r="F161">
        <v>4069</v>
      </c>
      <c r="G161" s="1" t="s">
        <v>176</v>
      </c>
      <c r="H161" s="1">
        <v>2821557</v>
      </c>
      <c r="I161" s="1">
        <v>2807452.1</v>
      </c>
      <c r="J161" s="1">
        <v>50323.887000000002</v>
      </c>
      <c r="K161" s="1">
        <f>_SELECT_u_city_AS_Город_TO_CHAR_f_rental_start_YYYY_MM_AS_Месяц__202609232054[[#This Row],[Чистая Выручка]] * (1 + $B$4)</f>
        <v>2807452.1</v>
      </c>
      <c r="L161" s="1">
        <f>_SELECT_u_city_AS_Город_TO_CHAR_f_rental_start_YYYY_MM_AS_Месяц__202609232054[[#This Row],[Расходы на Ремонт]] * (1 + $B$5)</f>
        <v>50323.887000000002</v>
      </c>
      <c r="M16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2757128.213</v>
      </c>
    </row>
    <row r="162" spans="3:13" x14ac:dyDescent="0.25">
      <c r="C162" s="1" t="s">
        <v>8</v>
      </c>
      <c r="D162" s="2">
        <v>45536</v>
      </c>
      <c r="E162" s="1" t="s">
        <v>9</v>
      </c>
      <c r="F162">
        <v>4144</v>
      </c>
      <c r="G162" s="1" t="s">
        <v>177</v>
      </c>
      <c r="H162" s="1">
        <v>2899555</v>
      </c>
      <c r="I162" s="1">
        <v>2884812.56</v>
      </c>
      <c r="J162" s="1">
        <v>0</v>
      </c>
      <c r="K162" s="1">
        <f>_SELECT_u_city_AS_Город_TO_CHAR_f_rental_start_YYYY_MM_AS_Месяц__202609232054[[#This Row],[Чистая Выручка]] * (1 + $B$4)</f>
        <v>2884812.56</v>
      </c>
      <c r="L162" s="1">
        <f>_SELECT_u_city_AS_Город_TO_CHAR_f_rental_start_YYYY_MM_AS_Месяц__202609232054[[#This Row],[Расходы на Ремонт]] * (1 + $B$5)</f>
        <v>0</v>
      </c>
      <c r="M16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2884812.56</v>
      </c>
    </row>
    <row r="163" spans="3:13" x14ac:dyDescent="0.25">
      <c r="C163" s="1" t="s">
        <v>8</v>
      </c>
      <c r="D163" s="2">
        <v>45536</v>
      </c>
      <c r="E163" s="1" t="s">
        <v>11</v>
      </c>
      <c r="F163">
        <v>4115</v>
      </c>
      <c r="G163" s="1" t="s">
        <v>178</v>
      </c>
      <c r="H163" s="1">
        <v>2856526</v>
      </c>
      <c r="I163" s="1">
        <v>2842152.89</v>
      </c>
      <c r="J163" s="1">
        <v>140608.15</v>
      </c>
      <c r="K163" s="1">
        <f>_SELECT_u_city_AS_Город_TO_CHAR_f_rental_start_YYYY_MM_AS_Месяц__202609232054[[#This Row],[Чистая Выручка]] * (1 + $B$4)</f>
        <v>2842152.89</v>
      </c>
      <c r="L163" s="1">
        <f>_SELECT_u_city_AS_Город_TO_CHAR_f_rental_start_YYYY_MM_AS_Месяц__202609232054[[#This Row],[Расходы на Ремонт]] * (1 + $B$5)</f>
        <v>140608.15</v>
      </c>
      <c r="M16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2701544.74</v>
      </c>
    </row>
    <row r="164" spans="3:13" x14ac:dyDescent="0.25">
      <c r="C164" s="1" t="s">
        <v>8</v>
      </c>
      <c r="D164" s="2">
        <v>45536</v>
      </c>
      <c r="E164" s="1" t="s">
        <v>13</v>
      </c>
      <c r="F164">
        <v>4309</v>
      </c>
      <c r="G164" s="1" t="s">
        <v>179</v>
      </c>
      <c r="H164" s="1">
        <v>3009976</v>
      </c>
      <c r="I164" s="1">
        <v>2995530.79</v>
      </c>
      <c r="J164" s="1">
        <v>70093.284</v>
      </c>
      <c r="K164" s="1">
        <f>_SELECT_u_city_AS_Город_TO_CHAR_f_rental_start_YYYY_MM_AS_Месяц__202609232054[[#This Row],[Чистая Выручка]] * (1 + $B$4)</f>
        <v>2995530.79</v>
      </c>
      <c r="L164" s="1">
        <f>_SELECT_u_city_AS_Город_TO_CHAR_f_rental_start_YYYY_MM_AS_Месяц__202609232054[[#This Row],[Расходы на Ремонт]] * (1 + $B$5)</f>
        <v>70093.284</v>
      </c>
      <c r="M16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2925437.5060000001</v>
      </c>
    </row>
    <row r="165" spans="3:13" x14ac:dyDescent="0.25">
      <c r="C165" s="1" t="s">
        <v>8</v>
      </c>
      <c r="D165" s="2">
        <v>45536</v>
      </c>
      <c r="E165" s="1" t="s">
        <v>15</v>
      </c>
      <c r="F165">
        <v>4070</v>
      </c>
      <c r="G165" s="1" t="s">
        <v>180</v>
      </c>
      <c r="H165" s="1">
        <v>2828535.5</v>
      </c>
      <c r="I165" s="1">
        <v>2815260.83</v>
      </c>
      <c r="J165" s="1">
        <v>49973.822999999997</v>
      </c>
      <c r="K165" s="1">
        <f>_SELECT_u_city_AS_Город_TO_CHAR_f_rental_start_YYYY_MM_AS_Месяц__202609232054[[#This Row],[Чистая Выручка]] * (1 + $B$4)</f>
        <v>2815260.83</v>
      </c>
      <c r="L165" s="1">
        <f>_SELECT_u_city_AS_Город_TO_CHAR_f_rental_start_YYYY_MM_AS_Месяц__202609232054[[#This Row],[Расходы на Ремонт]] * (1 + $B$5)</f>
        <v>49973.822999999997</v>
      </c>
      <c r="M16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2765287.0070000002</v>
      </c>
    </row>
    <row r="166" spans="3:13" x14ac:dyDescent="0.25">
      <c r="C166" s="1" t="s">
        <v>17</v>
      </c>
      <c r="D166" s="2">
        <v>45536</v>
      </c>
      <c r="E166" s="1" t="s">
        <v>9</v>
      </c>
      <c r="F166">
        <v>4094</v>
      </c>
      <c r="G166" s="1" t="s">
        <v>181</v>
      </c>
      <c r="H166" s="1">
        <v>2829094</v>
      </c>
      <c r="I166" s="1">
        <v>2815706.94</v>
      </c>
      <c r="J166" s="1">
        <v>0</v>
      </c>
      <c r="K166" s="1">
        <f>_SELECT_u_city_AS_Город_TO_CHAR_f_rental_start_YYYY_MM_AS_Месяц__202609232054[[#This Row],[Чистая Выручка]] * (1 + $B$4)</f>
        <v>2815706.94</v>
      </c>
      <c r="L166" s="1">
        <f>_SELECT_u_city_AS_Город_TO_CHAR_f_rental_start_YYYY_MM_AS_Месяц__202609232054[[#This Row],[Расходы на Ремонт]] * (1 + $B$5)</f>
        <v>0</v>
      </c>
      <c r="M16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2815706.94</v>
      </c>
    </row>
    <row r="167" spans="3:13" x14ac:dyDescent="0.25">
      <c r="C167" s="1" t="s">
        <v>17</v>
      </c>
      <c r="D167" s="2">
        <v>45536</v>
      </c>
      <c r="E167" s="1" t="s">
        <v>11</v>
      </c>
      <c r="F167">
        <v>4136</v>
      </c>
      <c r="G167" s="1" t="s">
        <v>182</v>
      </c>
      <c r="H167" s="1">
        <v>2861250.5</v>
      </c>
      <c r="I167" s="1">
        <v>2847341.94</v>
      </c>
      <c r="J167" s="1">
        <v>139228.4</v>
      </c>
      <c r="K167" s="1">
        <f>_SELECT_u_city_AS_Город_TO_CHAR_f_rental_start_YYYY_MM_AS_Месяц__202609232054[[#This Row],[Чистая Выручка]] * (1 + $B$4)</f>
        <v>2847341.94</v>
      </c>
      <c r="L167" s="1">
        <f>_SELECT_u_city_AS_Город_TO_CHAR_f_rental_start_YYYY_MM_AS_Месяц__202609232054[[#This Row],[Расходы на Ремонт]] * (1 + $B$5)</f>
        <v>139228.4</v>
      </c>
      <c r="M16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2708113.54</v>
      </c>
    </row>
    <row r="168" spans="3:13" x14ac:dyDescent="0.25">
      <c r="C168" s="1" t="s">
        <v>17</v>
      </c>
      <c r="D168" s="2">
        <v>45536</v>
      </c>
      <c r="E168" s="1" t="s">
        <v>13</v>
      </c>
      <c r="F168">
        <v>4303</v>
      </c>
      <c r="G168" s="1" t="s">
        <v>183</v>
      </c>
      <c r="H168" s="1">
        <v>2993690.5</v>
      </c>
      <c r="I168" s="1">
        <v>2979674.7</v>
      </c>
      <c r="J168" s="1">
        <v>70871.471999999994</v>
      </c>
      <c r="K168" s="1">
        <f>_SELECT_u_city_AS_Город_TO_CHAR_f_rental_start_YYYY_MM_AS_Месяц__202609232054[[#This Row],[Чистая Выручка]] * (1 + $B$4)</f>
        <v>2979674.7</v>
      </c>
      <c r="L168" s="1">
        <f>_SELECT_u_city_AS_Город_TO_CHAR_f_rental_start_YYYY_MM_AS_Месяц__202609232054[[#This Row],[Расходы на Ремонт]] * (1 + $B$5)</f>
        <v>70871.471999999994</v>
      </c>
      <c r="M16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2908803.2280000001</v>
      </c>
    </row>
    <row r="169" spans="3:13" x14ac:dyDescent="0.25">
      <c r="C169" s="1" t="s">
        <v>17</v>
      </c>
      <c r="D169" s="2">
        <v>45536</v>
      </c>
      <c r="E169" s="1" t="s">
        <v>15</v>
      </c>
      <c r="F169">
        <v>4132</v>
      </c>
      <c r="G169" s="1" t="s">
        <v>184</v>
      </c>
      <c r="H169" s="1">
        <v>2853271</v>
      </c>
      <c r="I169" s="1">
        <v>2840099.65</v>
      </c>
      <c r="J169" s="1">
        <v>50779.035000000003</v>
      </c>
      <c r="K169" s="1">
        <f>_SELECT_u_city_AS_Город_TO_CHAR_f_rental_start_YYYY_MM_AS_Месяц__202609232054[[#This Row],[Чистая Выручка]] * (1 + $B$4)</f>
        <v>2840099.65</v>
      </c>
      <c r="L169" s="1">
        <f>_SELECT_u_city_AS_Город_TO_CHAR_f_rental_start_YYYY_MM_AS_Месяц__202609232054[[#This Row],[Расходы на Ремонт]] * (1 + $B$5)</f>
        <v>50779.035000000003</v>
      </c>
      <c r="M16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2789320.6149999998</v>
      </c>
    </row>
    <row r="170" spans="3:13" x14ac:dyDescent="0.25">
      <c r="C170" s="1" t="s">
        <v>22</v>
      </c>
      <c r="D170" s="2">
        <v>45536</v>
      </c>
      <c r="E170" s="1" t="s">
        <v>9</v>
      </c>
      <c r="F170">
        <v>4307</v>
      </c>
      <c r="G170" s="1" t="s">
        <v>185</v>
      </c>
      <c r="H170" s="1">
        <v>3001629.5</v>
      </c>
      <c r="I170" s="1">
        <v>2987301.72</v>
      </c>
      <c r="J170" s="1">
        <v>0</v>
      </c>
      <c r="K170" s="1">
        <f>_SELECT_u_city_AS_Город_TO_CHAR_f_rental_start_YYYY_MM_AS_Месяц__202609232054[[#This Row],[Чистая Выручка]] * (1 + $B$4)</f>
        <v>2987301.72</v>
      </c>
      <c r="L170" s="1">
        <f>_SELECT_u_city_AS_Город_TO_CHAR_f_rental_start_YYYY_MM_AS_Месяц__202609232054[[#This Row],[Расходы на Ремонт]] * (1 + $B$5)</f>
        <v>0</v>
      </c>
      <c r="M17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2987301.72</v>
      </c>
    </row>
    <row r="171" spans="3:13" x14ac:dyDescent="0.25">
      <c r="C171" s="1" t="s">
        <v>22</v>
      </c>
      <c r="D171" s="2">
        <v>45536</v>
      </c>
      <c r="E171" s="1" t="s">
        <v>11</v>
      </c>
      <c r="F171">
        <v>4247</v>
      </c>
      <c r="G171" s="1" t="s">
        <v>186</v>
      </c>
      <c r="H171" s="1">
        <v>2944768</v>
      </c>
      <c r="I171" s="1">
        <v>2929718.49</v>
      </c>
      <c r="J171" s="1">
        <v>144918.1</v>
      </c>
      <c r="K171" s="1">
        <f>_SELECT_u_city_AS_Город_TO_CHAR_f_rental_start_YYYY_MM_AS_Месяц__202609232054[[#This Row],[Чистая Выручка]] * (1 + $B$4)</f>
        <v>2929718.49</v>
      </c>
      <c r="L171" s="1">
        <f>_SELECT_u_city_AS_Город_TO_CHAR_f_rental_start_YYYY_MM_AS_Месяц__202609232054[[#This Row],[Расходы на Ремонт]] * (1 + $B$5)</f>
        <v>144918.1</v>
      </c>
      <c r="M17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2784800.39</v>
      </c>
    </row>
    <row r="172" spans="3:13" x14ac:dyDescent="0.25">
      <c r="C172" s="1" t="s">
        <v>22</v>
      </c>
      <c r="D172" s="2">
        <v>45536</v>
      </c>
      <c r="E172" s="1" t="s">
        <v>13</v>
      </c>
      <c r="F172">
        <v>4291</v>
      </c>
      <c r="G172" s="1" t="s">
        <v>187</v>
      </c>
      <c r="H172" s="1">
        <v>3027605.5</v>
      </c>
      <c r="I172" s="1">
        <v>3013987.11</v>
      </c>
      <c r="J172" s="1">
        <v>70569.047999999995</v>
      </c>
      <c r="K172" s="1">
        <f>_SELECT_u_city_AS_Город_TO_CHAR_f_rental_start_YYYY_MM_AS_Месяц__202609232054[[#This Row],[Чистая Выручка]] * (1 + $B$4)</f>
        <v>3013987.11</v>
      </c>
      <c r="L172" s="1">
        <f>_SELECT_u_city_AS_Город_TO_CHAR_f_rental_start_YYYY_MM_AS_Месяц__202609232054[[#This Row],[Расходы на Ремонт]] * (1 + $B$5)</f>
        <v>70569.047999999995</v>
      </c>
      <c r="M17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2943418.0619999999</v>
      </c>
    </row>
    <row r="173" spans="3:13" x14ac:dyDescent="0.25">
      <c r="C173" s="1" t="s">
        <v>22</v>
      </c>
      <c r="D173" s="2">
        <v>45536</v>
      </c>
      <c r="E173" s="1" t="s">
        <v>15</v>
      </c>
      <c r="F173">
        <v>4105</v>
      </c>
      <c r="G173" s="1" t="s">
        <v>188</v>
      </c>
      <c r="H173" s="1">
        <v>2863483</v>
      </c>
      <c r="I173" s="1">
        <v>2849255.5</v>
      </c>
      <c r="J173" s="1">
        <v>50502.663</v>
      </c>
      <c r="K173" s="1">
        <f>_SELECT_u_city_AS_Город_TO_CHAR_f_rental_start_YYYY_MM_AS_Месяц__202609232054[[#This Row],[Чистая Выручка]] * (1 + $B$4)</f>
        <v>2849255.5</v>
      </c>
      <c r="L173" s="1">
        <f>_SELECT_u_city_AS_Город_TO_CHAR_f_rental_start_YYYY_MM_AS_Месяц__202609232054[[#This Row],[Расходы на Ремонт]] * (1 + $B$5)</f>
        <v>50502.663</v>
      </c>
      <c r="M17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2798752.8369999998</v>
      </c>
    </row>
    <row r="174" spans="3:13" x14ac:dyDescent="0.25">
      <c r="C174" s="1" t="s">
        <v>27</v>
      </c>
      <c r="D174" s="2">
        <v>45536</v>
      </c>
      <c r="E174" s="1" t="s">
        <v>9</v>
      </c>
      <c r="F174">
        <v>4015</v>
      </c>
      <c r="G174" s="1" t="s">
        <v>189</v>
      </c>
      <c r="H174" s="1">
        <v>2755812.5</v>
      </c>
      <c r="I174" s="1">
        <v>2741935.22</v>
      </c>
      <c r="J174" s="1">
        <v>0</v>
      </c>
      <c r="K174" s="1">
        <f>_SELECT_u_city_AS_Город_TO_CHAR_f_rental_start_YYYY_MM_AS_Месяц__202609232054[[#This Row],[Чистая Выручка]] * (1 + $B$4)</f>
        <v>2741935.22</v>
      </c>
      <c r="L174" s="1">
        <f>_SELECT_u_city_AS_Город_TO_CHAR_f_rental_start_YYYY_MM_AS_Месяц__202609232054[[#This Row],[Расходы на Ремонт]] * (1 + $B$5)</f>
        <v>0</v>
      </c>
      <c r="M17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2741935.22</v>
      </c>
    </row>
    <row r="175" spans="3:13" x14ac:dyDescent="0.25">
      <c r="C175" s="1" t="s">
        <v>27</v>
      </c>
      <c r="D175" s="2">
        <v>45536</v>
      </c>
      <c r="E175" s="1" t="s">
        <v>11</v>
      </c>
      <c r="F175">
        <v>4031</v>
      </c>
      <c r="G175" s="1" t="s">
        <v>190</v>
      </c>
      <c r="H175" s="1">
        <v>2833676</v>
      </c>
      <c r="I175" s="1">
        <v>2819730.38</v>
      </c>
      <c r="J175" s="1">
        <v>139762.02499999999</v>
      </c>
      <c r="K175" s="1">
        <f>_SELECT_u_city_AS_Город_TO_CHAR_f_rental_start_YYYY_MM_AS_Месяц__202609232054[[#This Row],[Чистая Выручка]] * (1 + $B$4)</f>
        <v>2819730.38</v>
      </c>
      <c r="L175" s="1">
        <f>_SELECT_u_city_AS_Город_TO_CHAR_f_rental_start_YYYY_MM_AS_Месяц__202609232054[[#This Row],[Расходы на Ремонт]] * (1 + $B$5)</f>
        <v>139762.02499999999</v>
      </c>
      <c r="M17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2679968.355</v>
      </c>
    </row>
    <row r="176" spans="3:13" x14ac:dyDescent="0.25">
      <c r="C176" s="1" t="s">
        <v>27</v>
      </c>
      <c r="D176" s="2">
        <v>45536</v>
      </c>
      <c r="E176" s="1" t="s">
        <v>13</v>
      </c>
      <c r="F176">
        <v>4170</v>
      </c>
      <c r="G176" s="1" t="s">
        <v>191</v>
      </c>
      <c r="H176" s="1">
        <v>2902808</v>
      </c>
      <c r="I176" s="1">
        <v>2889090.64</v>
      </c>
      <c r="J176" s="1">
        <v>68326.080000000002</v>
      </c>
      <c r="K176" s="1">
        <f>_SELECT_u_city_AS_Город_TO_CHAR_f_rental_start_YYYY_MM_AS_Месяц__202609232054[[#This Row],[Чистая Выручка]] * (1 + $B$4)</f>
        <v>2889090.64</v>
      </c>
      <c r="L176" s="1">
        <f>_SELECT_u_city_AS_Город_TO_CHAR_f_rental_start_YYYY_MM_AS_Месяц__202609232054[[#This Row],[Расходы на Ремонт]] * (1 + $B$5)</f>
        <v>68326.080000000002</v>
      </c>
      <c r="M17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2820764.56</v>
      </c>
    </row>
    <row r="177" spans="3:13" x14ac:dyDescent="0.25">
      <c r="C177" s="1" t="s">
        <v>27</v>
      </c>
      <c r="D177" s="2">
        <v>45536</v>
      </c>
      <c r="E177" s="1" t="s">
        <v>15</v>
      </c>
      <c r="F177">
        <v>4105</v>
      </c>
      <c r="G177" s="1" t="s">
        <v>192</v>
      </c>
      <c r="H177" s="1">
        <v>2862380.5</v>
      </c>
      <c r="I177" s="1">
        <v>2848647.61</v>
      </c>
      <c r="J177" s="1">
        <v>50642.19</v>
      </c>
      <c r="K177" s="1">
        <f>_SELECT_u_city_AS_Город_TO_CHAR_f_rental_start_YYYY_MM_AS_Месяц__202609232054[[#This Row],[Чистая Выручка]] * (1 + $B$4)</f>
        <v>2848647.61</v>
      </c>
      <c r="L177" s="1">
        <f>_SELECT_u_city_AS_Город_TO_CHAR_f_rental_start_YYYY_MM_AS_Месяц__202609232054[[#This Row],[Расходы на Ремонт]] * (1 + $B$5)</f>
        <v>50642.19</v>
      </c>
      <c r="M17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2798005.42</v>
      </c>
    </row>
    <row r="178" spans="3:13" x14ac:dyDescent="0.25">
      <c r="C178" s="1" t="s">
        <v>32</v>
      </c>
      <c r="D178" s="2">
        <v>45536</v>
      </c>
      <c r="E178" s="1" t="s">
        <v>9</v>
      </c>
      <c r="F178">
        <v>4132</v>
      </c>
      <c r="G178" s="1" t="s">
        <v>193</v>
      </c>
      <c r="H178" s="1">
        <v>2860520</v>
      </c>
      <c r="I178" s="1">
        <v>2846411.51</v>
      </c>
      <c r="J178" s="1">
        <v>0</v>
      </c>
      <c r="K178" s="1">
        <f>_SELECT_u_city_AS_Город_TO_CHAR_f_rental_start_YYYY_MM_AS_Месяц__202609232054[[#This Row],[Чистая Выручка]] * (1 + $B$4)</f>
        <v>2846411.51</v>
      </c>
      <c r="L178" s="1">
        <f>_SELECT_u_city_AS_Город_TO_CHAR_f_rental_start_YYYY_MM_AS_Месяц__202609232054[[#This Row],[Расходы на Ремонт]] * (1 + $B$5)</f>
        <v>0</v>
      </c>
      <c r="M17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2846411.51</v>
      </c>
    </row>
    <row r="179" spans="3:13" x14ac:dyDescent="0.25">
      <c r="C179" s="1" t="s">
        <v>32</v>
      </c>
      <c r="D179" s="2">
        <v>45536</v>
      </c>
      <c r="E179" s="1" t="s">
        <v>11</v>
      </c>
      <c r="F179">
        <v>4183</v>
      </c>
      <c r="G179" s="1" t="s">
        <v>194</v>
      </c>
      <c r="H179" s="1">
        <v>2934554</v>
      </c>
      <c r="I179" s="1">
        <v>2920119.81</v>
      </c>
      <c r="J179" s="1">
        <v>143193.27499999999</v>
      </c>
      <c r="K179" s="1">
        <f>_SELECT_u_city_AS_Город_TO_CHAR_f_rental_start_YYYY_MM_AS_Месяц__202609232054[[#This Row],[Чистая Выручка]] * (1 + $B$4)</f>
        <v>2920119.81</v>
      </c>
      <c r="L179" s="1">
        <f>_SELECT_u_city_AS_Город_TO_CHAR_f_rental_start_YYYY_MM_AS_Месяц__202609232054[[#This Row],[Расходы на Ремонт]] * (1 + $B$5)</f>
        <v>143193.27499999999</v>
      </c>
      <c r="M17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2776926.5350000001</v>
      </c>
    </row>
    <row r="180" spans="3:13" x14ac:dyDescent="0.25">
      <c r="C180" s="1" t="s">
        <v>32</v>
      </c>
      <c r="D180" s="2">
        <v>45536</v>
      </c>
      <c r="E180" s="1" t="s">
        <v>13</v>
      </c>
      <c r="F180">
        <v>4129</v>
      </c>
      <c r="G180" s="1" t="s">
        <v>195</v>
      </c>
      <c r="H180" s="1">
        <v>2907224</v>
      </c>
      <c r="I180" s="1">
        <v>2893391.27</v>
      </c>
      <c r="J180" s="1">
        <v>67555.703999999998</v>
      </c>
      <c r="K180" s="1">
        <f>_SELECT_u_city_AS_Город_TO_CHAR_f_rental_start_YYYY_MM_AS_Месяц__202609232054[[#This Row],[Чистая Выручка]] * (1 + $B$4)</f>
        <v>2893391.27</v>
      </c>
      <c r="L180" s="1">
        <f>_SELECT_u_city_AS_Город_TO_CHAR_f_rental_start_YYYY_MM_AS_Месяц__202609232054[[#This Row],[Расходы на Ремонт]] * (1 + $B$5)</f>
        <v>67555.703999999998</v>
      </c>
      <c r="M18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2825835.5660000001</v>
      </c>
    </row>
    <row r="181" spans="3:13" x14ac:dyDescent="0.25">
      <c r="C181" s="1" t="s">
        <v>32</v>
      </c>
      <c r="D181" s="2">
        <v>45536</v>
      </c>
      <c r="E181" s="1" t="s">
        <v>15</v>
      </c>
      <c r="F181">
        <v>4045</v>
      </c>
      <c r="G181" s="1" t="s">
        <v>196</v>
      </c>
      <c r="H181" s="1">
        <v>2859880</v>
      </c>
      <c r="I181" s="1">
        <v>2846516.51</v>
      </c>
      <c r="J181" s="1">
        <v>49592.726999999999</v>
      </c>
      <c r="K181" s="1">
        <f>_SELECT_u_city_AS_Город_TO_CHAR_f_rental_start_YYYY_MM_AS_Месяц__202609232054[[#This Row],[Чистая Выручка]] * (1 + $B$4)</f>
        <v>2846516.51</v>
      </c>
      <c r="L181" s="1">
        <f>_SELECT_u_city_AS_Город_TO_CHAR_f_rental_start_YYYY_MM_AS_Месяц__202609232054[[#This Row],[Расходы на Ремонт]] * (1 + $B$5)</f>
        <v>49592.726999999999</v>
      </c>
      <c r="M18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2796923.7829999998</v>
      </c>
    </row>
    <row r="182" spans="3:13" x14ac:dyDescent="0.25">
      <c r="C182" s="1" t="s">
        <v>8</v>
      </c>
      <c r="D182" s="2">
        <v>45566</v>
      </c>
      <c r="E182" s="1" t="s">
        <v>9</v>
      </c>
      <c r="F182">
        <v>4174</v>
      </c>
      <c r="G182" s="1" t="s">
        <v>197</v>
      </c>
      <c r="H182" s="1">
        <v>2904618.5</v>
      </c>
      <c r="I182" s="1">
        <v>2890370.14</v>
      </c>
      <c r="J182" s="1">
        <v>0</v>
      </c>
      <c r="K182" s="1">
        <f>_SELECT_u_city_AS_Город_TO_CHAR_f_rental_start_YYYY_MM_AS_Месяц__202609232054[[#This Row],[Чистая Выручка]] * (1 + $B$4)</f>
        <v>2890370.14</v>
      </c>
      <c r="L182" s="1">
        <f>_SELECT_u_city_AS_Город_TO_CHAR_f_rental_start_YYYY_MM_AS_Месяц__202609232054[[#This Row],[Расходы на Ремонт]] * (1 + $B$5)</f>
        <v>0</v>
      </c>
      <c r="M18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2890370.14</v>
      </c>
    </row>
    <row r="183" spans="3:13" x14ac:dyDescent="0.25">
      <c r="C183" s="1" t="s">
        <v>8</v>
      </c>
      <c r="D183" s="2">
        <v>45566</v>
      </c>
      <c r="E183" s="1" t="s">
        <v>11</v>
      </c>
      <c r="F183">
        <v>4171</v>
      </c>
      <c r="G183" s="1" t="s">
        <v>198</v>
      </c>
      <c r="H183" s="1">
        <v>2900744.5</v>
      </c>
      <c r="I183" s="1">
        <v>2886299.26</v>
      </c>
      <c r="J183" s="1">
        <v>140162.5</v>
      </c>
      <c r="K183" s="1">
        <f>_SELECT_u_city_AS_Город_TO_CHAR_f_rental_start_YYYY_MM_AS_Месяц__202609232054[[#This Row],[Чистая Выручка]] * (1 + $B$4)</f>
        <v>2886299.26</v>
      </c>
      <c r="L183" s="1">
        <f>_SELECT_u_city_AS_Город_TO_CHAR_f_rental_start_YYYY_MM_AS_Месяц__202609232054[[#This Row],[Расходы на Ремонт]] * (1 + $B$5)</f>
        <v>140162.5</v>
      </c>
      <c r="M18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2746136.76</v>
      </c>
    </row>
    <row r="184" spans="3:13" x14ac:dyDescent="0.25">
      <c r="C184" s="1" t="s">
        <v>8</v>
      </c>
      <c r="D184" s="2">
        <v>45566</v>
      </c>
      <c r="E184" s="1" t="s">
        <v>13</v>
      </c>
      <c r="F184">
        <v>4166</v>
      </c>
      <c r="G184" s="1" t="s">
        <v>199</v>
      </c>
      <c r="H184" s="1">
        <v>2916868.5</v>
      </c>
      <c r="I184" s="1">
        <v>2902299.63</v>
      </c>
      <c r="J184" s="1">
        <v>67832.532000000007</v>
      </c>
      <c r="K184" s="1">
        <f>_SELECT_u_city_AS_Город_TO_CHAR_f_rental_start_YYYY_MM_AS_Месяц__202609232054[[#This Row],[Чистая Выручка]] * (1 + $B$4)</f>
        <v>2902299.63</v>
      </c>
      <c r="L184" s="1">
        <f>_SELECT_u_city_AS_Город_TO_CHAR_f_rental_start_YYYY_MM_AS_Месяц__202609232054[[#This Row],[Расходы на Ремонт]] * (1 + $B$5)</f>
        <v>67832.532000000007</v>
      </c>
      <c r="M18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2834467.0979999998</v>
      </c>
    </row>
    <row r="185" spans="3:13" x14ac:dyDescent="0.25">
      <c r="C185" s="1" t="s">
        <v>8</v>
      </c>
      <c r="D185" s="2">
        <v>45566</v>
      </c>
      <c r="E185" s="1" t="s">
        <v>15</v>
      </c>
      <c r="F185">
        <v>4081</v>
      </c>
      <c r="G185" s="1" t="s">
        <v>200</v>
      </c>
      <c r="H185" s="1">
        <v>2830102.5</v>
      </c>
      <c r="I185" s="1">
        <v>2816182.26</v>
      </c>
      <c r="J185" s="1">
        <v>49653.404999999999</v>
      </c>
      <c r="K185" s="1">
        <f>_SELECT_u_city_AS_Город_TO_CHAR_f_rental_start_YYYY_MM_AS_Месяц__202609232054[[#This Row],[Чистая Выручка]] * (1 + $B$4)</f>
        <v>2816182.26</v>
      </c>
      <c r="L185" s="1">
        <f>_SELECT_u_city_AS_Город_TO_CHAR_f_rental_start_YYYY_MM_AS_Месяц__202609232054[[#This Row],[Расходы на Ремонт]] * (1 + $B$5)</f>
        <v>49653.404999999999</v>
      </c>
      <c r="M18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2766528.855</v>
      </c>
    </row>
    <row r="186" spans="3:13" x14ac:dyDescent="0.25">
      <c r="C186" s="1" t="s">
        <v>17</v>
      </c>
      <c r="D186" s="2">
        <v>45566</v>
      </c>
      <c r="E186" s="1" t="s">
        <v>9</v>
      </c>
      <c r="F186">
        <v>4331</v>
      </c>
      <c r="G186" s="1" t="s">
        <v>201</v>
      </c>
      <c r="H186" s="1">
        <v>3026936.5</v>
      </c>
      <c r="I186" s="1">
        <v>3013596.61</v>
      </c>
      <c r="J186" s="1">
        <v>0</v>
      </c>
      <c r="K186" s="1">
        <f>_SELECT_u_city_AS_Город_TO_CHAR_f_rental_start_YYYY_MM_AS_Месяц__202609232054[[#This Row],[Чистая Выручка]] * (1 + $B$4)</f>
        <v>3013596.61</v>
      </c>
      <c r="L186" s="1">
        <f>_SELECT_u_city_AS_Город_TO_CHAR_f_rental_start_YYYY_MM_AS_Месяц__202609232054[[#This Row],[Расходы на Ремонт]] * (1 + $B$5)</f>
        <v>0</v>
      </c>
      <c r="M18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3013596.61</v>
      </c>
    </row>
    <row r="187" spans="3:13" x14ac:dyDescent="0.25">
      <c r="C187" s="1" t="s">
        <v>17</v>
      </c>
      <c r="D187" s="2">
        <v>45566</v>
      </c>
      <c r="E187" s="1" t="s">
        <v>11</v>
      </c>
      <c r="F187">
        <v>4292</v>
      </c>
      <c r="G187" s="1" t="s">
        <v>202</v>
      </c>
      <c r="H187" s="1">
        <v>2976362</v>
      </c>
      <c r="I187" s="1">
        <v>2961574.12</v>
      </c>
      <c r="J187" s="1">
        <v>146147.29999999999</v>
      </c>
      <c r="K187" s="1">
        <f>_SELECT_u_city_AS_Город_TO_CHAR_f_rental_start_YYYY_MM_AS_Месяц__202609232054[[#This Row],[Чистая Выручка]] * (1 + $B$4)</f>
        <v>2961574.12</v>
      </c>
      <c r="L187" s="1">
        <f>_SELECT_u_city_AS_Город_TO_CHAR_f_rental_start_YYYY_MM_AS_Месяц__202609232054[[#This Row],[Расходы на Ремонт]] * (1 + $B$5)</f>
        <v>146147.29999999999</v>
      </c>
      <c r="M18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2815426.8200000003</v>
      </c>
    </row>
    <row r="188" spans="3:13" x14ac:dyDescent="0.25">
      <c r="C188" s="1" t="s">
        <v>17</v>
      </c>
      <c r="D188" s="2">
        <v>45566</v>
      </c>
      <c r="E188" s="1" t="s">
        <v>13</v>
      </c>
      <c r="F188">
        <v>4187</v>
      </c>
      <c r="G188" s="1" t="s">
        <v>203</v>
      </c>
      <c r="H188" s="1">
        <v>2925334</v>
      </c>
      <c r="I188" s="1">
        <v>2910966.28</v>
      </c>
      <c r="J188" s="1">
        <v>68162.292000000001</v>
      </c>
      <c r="K188" s="1">
        <f>_SELECT_u_city_AS_Город_TO_CHAR_f_rental_start_YYYY_MM_AS_Месяц__202609232054[[#This Row],[Чистая Выручка]] * (1 + $B$4)</f>
        <v>2910966.28</v>
      </c>
      <c r="L188" s="1">
        <f>_SELECT_u_city_AS_Город_TO_CHAR_f_rental_start_YYYY_MM_AS_Месяц__202609232054[[#This Row],[Расходы на Ремонт]] * (1 + $B$5)</f>
        <v>68162.292000000001</v>
      </c>
      <c r="M18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2842803.9879999999</v>
      </c>
    </row>
    <row r="189" spans="3:13" x14ac:dyDescent="0.25">
      <c r="C189" s="1" t="s">
        <v>17</v>
      </c>
      <c r="D189" s="2">
        <v>45566</v>
      </c>
      <c r="E189" s="1" t="s">
        <v>15</v>
      </c>
      <c r="F189">
        <v>4121</v>
      </c>
      <c r="G189" s="1" t="s">
        <v>204</v>
      </c>
      <c r="H189" s="1">
        <v>2849922.5</v>
      </c>
      <c r="I189" s="1">
        <v>2836101.49</v>
      </c>
      <c r="J189" s="1">
        <v>49996.584000000003</v>
      </c>
      <c r="K189" s="1">
        <f>_SELECT_u_city_AS_Город_TO_CHAR_f_rental_start_YYYY_MM_AS_Месяц__202609232054[[#This Row],[Чистая Выручка]] * (1 + $B$4)</f>
        <v>2836101.49</v>
      </c>
      <c r="L189" s="1">
        <f>_SELECT_u_city_AS_Город_TO_CHAR_f_rental_start_YYYY_MM_AS_Месяц__202609232054[[#This Row],[Расходы на Ремонт]] * (1 + $B$5)</f>
        <v>49996.584000000003</v>
      </c>
      <c r="M18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2786104.9060000004</v>
      </c>
    </row>
    <row r="190" spans="3:13" x14ac:dyDescent="0.25">
      <c r="C190" s="1" t="s">
        <v>22</v>
      </c>
      <c r="D190" s="2">
        <v>45566</v>
      </c>
      <c r="E190" s="1" t="s">
        <v>9</v>
      </c>
      <c r="F190">
        <v>4278</v>
      </c>
      <c r="G190" s="1" t="s">
        <v>205</v>
      </c>
      <c r="H190" s="1">
        <v>3003227</v>
      </c>
      <c r="I190" s="1">
        <v>2988739.09</v>
      </c>
      <c r="J190" s="1">
        <v>0</v>
      </c>
      <c r="K190" s="1">
        <f>_SELECT_u_city_AS_Город_TO_CHAR_f_rental_start_YYYY_MM_AS_Месяц__202609232054[[#This Row],[Чистая Выручка]] * (1 + $B$4)</f>
        <v>2988739.09</v>
      </c>
      <c r="L190" s="1">
        <f>_SELECT_u_city_AS_Город_TO_CHAR_f_rental_start_YYYY_MM_AS_Месяц__202609232054[[#This Row],[Расходы на Ремонт]] * (1 + $B$5)</f>
        <v>0</v>
      </c>
      <c r="M19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2988739.09</v>
      </c>
    </row>
    <row r="191" spans="3:13" x14ac:dyDescent="0.25">
      <c r="C191" s="1" t="s">
        <v>22</v>
      </c>
      <c r="D191" s="2">
        <v>45566</v>
      </c>
      <c r="E191" s="1" t="s">
        <v>11</v>
      </c>
      <c r="F191">
        <v>4281</v>
      </c>
      <c r="G191" s="1" t="s">
        <v>206</v>
      </c>
      <c r="H191" s="1">
        <v>2973946.5</v>
      </c>
      <c r="I191" s="1">
        <v>2959504.77</v>
      </c>
      <c r="J191" s="1">
        <v>146348.20000000001</v>
      </c>
      <c r="K191" s="1">
        <f>_SELECT_u_city_AS_Город_TO_CHAR_f_rental_start_YYYY_MM_AS_Месяц__202609232054[[#This Row],[Чистая Выручка]] * (1 + $B$4)</f>
        <v>2959504.77</v>
      </c>
      <c r="L191" s="1">
        <f>_SELECT_u_city_AS_Город_TO_CHAR_f_rental_start_YYYY_MM_AS_Месяц__202609232054[[#This Row],[Расходы на Ремонт]] * (1 + $B$5)</f>
        <v>146348.20000000001</v>
      </c>
      <c r="M19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2813156.57</v>
      </c>
    </row>
    <row r="192" spans="3:13" x14ac:dyDescent="0.25">
      <c r="C192" s="1" t="s">
        <v>22</v>
      </c>
      <c r="D192" s="2">
        <v>45566</v>
      </c>
      <c r="E192" s="1" t="s">
        <v>13</v>
      </c>
      <c r="F192">
        <v>4211</v>
      </c>
      <c r="G192" s="1" t="s">
        <v>207</v>
      </c>
      <c r="H192" s="1">
        <v>2946215.5</v>
      </c>
      <c r="I192" s="1">
        <v>2931829.03</v>
      </c>
      <c r="J192" s="1">
        <v>69302.796000000002</v>
      </c>
      <c r="K192" s="1">
        <f>_SELECT_u_city_AS_Город_TO_CHAR_f_rental_start_YYYY_MM_AS_Месяц__202609232054[[#This Row],[Чистая Выручка]] * (1 + $B$4)</f>
        <v>2931829.03</v>
      </c>
      <c r="L192" s="1">
        <f>_SELECT_u_city_AS_Город_TO_CHAR_f_rental_start_YYYY_MM_AS_Месяц__202609232054[[#This Row],[Расходы на Ремонт]] * (1 + $B$5)</f>
        <v>69302.796000000002</v>
      </c>
      <c r="M19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2862526.2339999997</v>
      </c>
    </row>
    <row r="193" spans="3:13" x14ac:dyDescent="0.25">
      <c r="C193" s="1" t="s">
        <v>22</v>
      </c>
      <c r="D193" s="2">
        <v>45566</v>
      </c>
      <c r="E193" s="1" t="s">
        <v>15</v>
      </c>
      <c r="F193">
        <v>4102</v>
      </c>
      <c r="G193" s="1" t="s">
        <v>208</v>
      </c>
      <c r="H193" s="1">
        <v>2866600.5</v>
      </c>
      <c r="I193" s="1">
        <v>2852388.85</v>
      </c>
      <c r="J193" s="1">
        <v>50349.978000000003</v>
      </c>
      <c r="K193" s="1">
        <f>_SELECT_u_city_AS_Город_TO_CHAR_f_rental_start_YYYY_MM_AS_Месяц__202609232054[[#This Row],[Чистая Выручка]] * (1 + $B$4)</f>
        <v>2852388.85</v>
      </c>
      <c r="L193" s="1">
        <f>_SELECT_u_city_AS_Город_TO_CHAR_f_rental_start_YYYY_MM_AS_Месяц__202609232054[[#This Row],[Расходы на Ремонт]] * (1 + $B$5)</f>
        <v>50349.978000000003</v>
      </c>
      <c r="M19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2802038.872</v>
      </c>
    </row>
    <row r="194" spans="3:13" x14ac:dyDescent="0.25">
      <c r="C194" s="1" t="s">
        <v>27</v>
      </c>
      <c r="D194" s="2">
        <v>45566</v>
      </c>
      <c r="E194" s="1" t="s">
        <v>9</v>
      </c>
      <c r="F194">
        <v>3975</v>
      </c>
      <c r="G194" s="1" t="s">
        <v>209</v>
      </c>
      <c r="H194" s="1">
        <v>2771687</v>
      </c>
      <c r="I194" s="1">
        <v>2758227.99</v>
      </c>
      <c r="J194" s="1">
        <v>0</v>
      </c>
      <c r="K194" s="1">
        <f>_SELECT_u_city_AS_Город_TO_CHAR_f_rental_start_YYYY_MM_AS_Месяц__202609232054[[#This Row],[Чистая Выручка]] * (1 + $B$4)</f>
        <v>2758227.99</v>
      </c>
      <c r="L194" s="1">
        <f>_SELECT_u_city_AS_Город_TO_CHAR_f_rental_start_YYYY_MM_AS_Месяц__202609232054[[#This Row],[Расходы на Ремонт]] * (1 + $B$5)</f>
        <v>0</v>
      </c>
      <c r="M19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2758227.99</v>
      </c>
    </row>
    <row r="195" spans="3:13" x14ac:dyDescent="0.25">
      <c r="C195" s="1" t="s">
        <v>27</v>
      </c>
      <c r="D195" s="2">
        <v>45566</v>
      </c>
      <c r="E195" s="1" t="s">
        <v>11</v>
      </c>
      <c r="F195">
        <v>4081</v>
      </c>
      <c r="G195" s="1" t="s">
        <v>210</v>
      </c>
      <c r="H195" s="1">
        <v>2831634</v>
      </c>
      <c r="I195" s="1">
        <v>2818305</v>
      </c>
      <c r="J195" s="1">
        <v>138877.52499999999</v>
      </c>
      <c r="K195" s="1">
        <f>_SELECT_u_city_AS_Город_TO_CHAR_f_rental_start_YYYY_MM_AS_Месяц__202609232054[[#This Row],[Чистая Выручка]] * (1 + $B$4)</f>
        <v>2818305</v>
      </c>
      <c r="L195" s="1">
        <f>_SELECT_u_city_AS_Город_TO_CHAR_f_rental_start_YYYY_MM_AS_Месяц__202609232054[[#This Row],[Расходы на Ремонт]] * (1 + $B$5)</f>
        <v>138877.52499999999</v>
      </c>
      <c r="M19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2679427.4750000001</v>
      </c>
    </row>
    <row r="196" spans="3:13" x14ac:dyDescent="0.25">
      <c r="C196" s="1" t="s">
        <v>27</v>
      </c>
      <c r="D196" s="2">
        <v>45566</v>
      </c>
      <c r="E196" s="1" t="s">
        <v>13</v>
      </c>
      <c r="F196">
        <v>4142</v>
      </c>
      <c r="G196" s="1" t="s">
        <v>211</v>
      </c>
      <c r="H196" s="1">
        <v>2902020</v>
      </c>
      <c r="I196" s="1">
        <v>2888843.52</v>
      </c>
      <c r="J196" s="1">
        <v>68625.960000000006</v>
      </c>
      <c r="K196" s="1">
        <f>_SELECT_u_city_AS_Город_TO_CHAR_f_rental_start_YYYY_MM_AS_Месяц__202609232054[[#This Row],[Чистая Выручка]] * (1 + $B$4)</f>
        <v>2888843.52</v>
      </c>
      <c r="L196" s="1">
        <f>_SELECT_u_city_AS_Город_TO_CHAR_f_rental_start_YYYY_MM_AS_Месяц__202609232054[[#This Row],[Расходы на Ремонт]] * (1 + $B$5)</f>
        <v>68625.960000000006</v>
      </c>
      <c r="M19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2820217.56</v>
      </c>
    </row>
    <row r="197" spans="3:13" x14ac:dyDescent="0.25">
      <c r="C197" s="1" t="s">
        <v>27</v>
      </c>
      <c r="D197" s="2">
        <v>45566</v>
      </c>
      <c r="E197" s="1" t="s">
        <v>15</v>
      </c>
      <c r="F197">
        <v>4102</v>
      </c>
      <c r="G197" s="1" t="s">
        <v>212</v>
      </c>
      <c r="H197" s="1">
        <v>2863327.5</v>
      </c>
      <c r="I197" s="1">
        <v>2849426.22</v>
      </c>
      <c r="J197" s="1">
        <v>50442.686999999998</v>
      </c>
      <c r="K197" s="1">
        <f>_SELECT_u_city_AS_Город_TO_CHAR_f_rental_start_YYYY_MM_AS_Месяц__202609232054[[#This Row],[Чистая Выручка]] * (1 + $B$4)</f>
        <v>2849426.22</v>
      </c>
      <c r="L197" s="1">
        <f>_SELECT_u_city_AS_Город_TO_CHAR_f_rental_start_YYYY_MM_AS_Месяц__202609232054[[#This Row],[Расходы на Ремонт]] * (1 + $B$5)</f>
        <v>50442.686999999998</v>
      </c>
      <c r="M19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2798983.5330000003</v>
      </c>
    </row>
    <row r="198" spans="3:13" x14ac:dyDescent="0.25">
      <c r="C198" s="1" t="s">
        <v>32</v>
      </c>
      <c r="D198" s="2">
        <v>45566</v>
      </c>
      <c r="E198" s="1" t="s">
        <v>9</v>
      </c>
      <c r="F198">
        <v>4224</v>
      </c>
      <c r="G198" s="1" t="s">
        <v>213</v>
      </c>
      <c r="H198" s="1">
        <v>2981861.5</v>
      </c>
      <c r="I198" s="1">
        <v>2967882.2</v>
      </c>
      <c r="J198" s="1">
        <v>0</v>
      </c>
      <c r="K198" s="1">
        <f>_SELECT_u_city_AS_Город_TO_CHAR_f_rental_start_YYYY_MM_AS_Месяц__202609232054[[#This Row],[Чистая Выручка]] * (1 + $B$4)</f>
        <v>2967882.2</v>
      </c>
      <c r="L198" s="1">
        <f>_SELECT_u_city_AS_Город_TO_CHAR_f_rental_start_YYYY_MM_AS_Месяц__202609232054[[#This Row],[Расходы на Ремонт]] * (1 + $B$5)</f>
        <v>0</v>
      </c>
      <c r="M19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2967882.2</v>
      </c>
    </row>
    <row r="199" spans="3:13" x14ac:dyDescent="0.25">
      <c r="C199" s="1" t="s">
        <v>32</v>
      </c>
      <c r="D199" s="2">
        <v>45566</v>
      </c>
      <c r="E199" s="1" t="s">
        <v>11</v>
      </c>
      <c r="F199">
        <v>4247</v>
      </c>
      <c r="G199" s="1" t="s">
        <v>214</v>
      </c>
      <c r="H199" s="1">
        <v>2967711</v>
      </c>
      <c r="I199" s="1">
        <v>2953073.21</v>
      </c>
      <c r="J199" s="1">
        <v>146444.70000000001</v>
      </c>
      <c r="K199" s="1">
        <f>_SELECT_u_city_AS_Город_TO_CHAR_f_rental_start_YYYY_MM_AS_Месяц__202609232054[[#This Row],[Чистая Выручка]] * (1 + $B$4)</f>
        <v>2953073.21</v>
      </c>
      <c r="L199" s="1">
        <f>_SELECT_u_city_AS_Город_TO_CHAR_f_rental_start_YYYY_MM_AS_Месяц__202609232054[[#This Row],[Расходы на Ремонт]] * (1 + $B$5)</f>
        <v>146444.70000000001</v>
      </c>
      <c r="M19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2806628.51</v>
      </c>
    </row>
    <row r="200" spans="3:13" x14ac:dyDescent="0.25">
      <c r="C200" s="1" t="s">
        <v>32</v>
      </c>
      <c r="D200" s="2">
        <v>45566</v>
      </c>
      <c r="E200" s="1" t="s">
        <v>13</v>
      </c>
      <c r="F200">
        <v>4255</v>
      </c>
      <c r="G200" s="1" t="s">
        <v>215</v>
      </c>
      <c r="H200" s="1">
        <v>2948282.5</v>
      </c>
      <c r="I200" s="1">
        <v>2933703.36</v>
      </c>
      <c r="J200" s="1">
        <v>69795.971999999994</v>
      </c>
      <c r="K200" s="1">
        <f>_SELECT_u_city_AS_Город_TO_CHAR_f_rental_start_YYYY_MM_AS_Месяц__202609232054[[#This Row],[Чистая Выручка]] * (1 + $B$4)</f>
        <v>2933703.36</v>
      </c>
      <c r="L200" s="1">
        <f>_SELECT_u_city_AS_Город_TO_CHAR_f_rental_start_YYYY_MM_AS_Месяц__202609232054[[#This Row],[Расходы на Ремонт]] * (1 + $B$5)</f>
        <v>69795.971999999994</v>
      </c>
      <c r="M20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2863907.3879999998</v>
      </c>
    </row>
    <row r="201" spans="3:13" x14ac:dyDescent="0.25">
      <c r="C201" s="1" t="s">
        <v>32</v>
      </c>
      <c r="D201" s="2">
        <v>45566</v>
      </c>
      <c r="E201" s="1" t="s">
        <v>15</v>
      </c>
      <c r="F201">
        <v>4089</v>
      </c>
      <c r="G201" s="1" t="s">
        <v>216</v>
      </c>
      <c r="H201" s="1">
        <v>2837044</v>
      </c>
      <c r="I201" s="1">
        <v>2823353.61</v>
      </c>
      <c r="J201" s="1">
        <v>49672.836000000003</v>
      </c>
      <c r="K201" s="1">
        <f>_SELECT_u_city_AS_Город_TO_CHAR_f_rental_start_YYYY_MM_AS_Месяц__202609232054[[#This Row],[Чистая Выручка]] * (1 + $B$4)</f>
        <v>2823353.61</v>
      </c>
      <c r="L201" s="1">
        <f>_SELECT_u_city_AS_Город_TO_CHAR_f_rental_start_YYYY_MM_AS_Месяц__202609232054[[#This Row],[Расходы на Ремонт]] * (1 + $B$5)</f>
        <v>49672.836000000003</v>
      </c>
      <c r="M20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2773680.7739999997</v>
      </c>
    </row>
    <row r="202" spans="3:13" x14ac:dyDescent="0.25">
      <c r="C202" s="1" t="s">
        <v>8</v>
      </c>
      <c r="D202" s="2">
        <v>45597</v>
      </c>
      <c r="E202" s="1" t="s">
        <v>9</v>
      </c>
      <c r="F202">
        <v>4199</v>
      </c>
      <c r="G202" s="1" t="s">
        <v>217</v>
      </c>
      <c r="H202" s="1">
        <v>2917504.5</v>
      </c>
      <c r="I202" s="1">
        <v>2904104.23</v>
      </c>
      <c r="J202" s="1">
        <v>0</v>
      </c>
      <c r="K202" s="1">
        <f>_SELECT_u_city_AS_Город_TO_CHAR_f_rental_start_YYYY_MM_AS_Месяц__202609232054[[#This Row],[Чистая Выручка]] * (1 + $B$4)</f>
        <v>2904104.23</v>
      </c>
      <c r="L202" s="1">
        <f>_SELECT_u_city_AS_Город_TO_CHAR_f_rental_start_YYYY_MM_AS_Месяц__202609232054[[#This Row],[Расходы на Ремонт]] * (1 + $B$5)</f>
        <v>0</v>
      </c>
      <c r="M20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2904104.23</v>
      </c>
    </row>
    <row r="203" spans="3:13" x14ac:dyDescent="0.25">
      <c r="C203" s="1" t="s">
        <v>8</v>
      </c>
      <c r="D203" s="2">
        <v>45597</v>
      </c>
      <c r="E203" s="1" t="s">
        <v>11</v>
      </c>
      <c r="F203">
        <v>4145</v>
      </c>
      <c r="G203" s="1" t="s">
        <v>218</v>
      </c>
      <c r="H203" s="1">
        <v>2871800.5</v>
      </c>
      <c r="I203" s="1">
        <v>2858306.93</v>
      </c>
      <c r="J203" s="1">
        <v>138701.95000000001</v>
      </c>
      <c r="K203" s="1">
        <f>_SELECT_u_city_AS_Город_TO_CHAR_f_rental_start_YYYY_MM_AS_Месяц__202609232054[[#This Row],[Чистая Выручка]] * (1 + $B$4)</f>
        <v>2858306.93</v>
      </c>
      <c r="L203" s="1">
        <f>_SELECT_u_city_AS_Город_TO_CHAR_f_rental_start_YYYY_MM_AS_Месяц__202609232054[[#This Row],[Расходы на Ремонт]] * (1 + $B$5)</f>
        <v>138701.95000000001</v>
      </c>
      <c r="M20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2719604.98</v>
      </c>
    </row>
    <row r="204" spans="3:13" x14ac:dyDescent="0.25">
      <c r="C204" s="1" t="s">
        <v>8</v>
      </c>
      <c r="D204" s="2">
        <v>45597</v>
      </c>
      <c r="E204" s="1" t="s">
        <v>13</v>
      </c>
      <c r="F204">
        <v>4168</v>
      </c>
      <c r="G204" s="1" t="s">
        <v>219</v>
      </c>
      <c r="H204" s="1">
        <v>2893542.5</v>
      </c>
      <c r="I204" s="1">
        <v>2880247.68</v>
      </c>
      <c r="J204" s="1">
        <v>68250.467999999993</v>
      </c>
      <c r="K204" s="1">
        <f>_SELECT_u_city_AS_Город_TO_CHAR_f_rental_start_YYYY_MM_AS_Месяц__202609232054[[#This Row],[Чистая Выручка]] * (1 + $B$4)</f>
        <v>2880247.68</v>
      </c>
      <c r="L204" s="1">
        <f>_SELECT_u_city_AS_Город_TO_CHAR_f_rental_start_YYYY_MM_AS_Месяц__202609232054[[#This Row],[Расходы на Ремонт]] * (1 + $B$5)</f>
        <v>68250.467999999993</v>
      </c>
      <c r="M20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2811997.2120000003</v>
      </c>
    </row>
    <row r="205" spans="3:13" x14ac:dyDescent="0.25">
      <c r="C205" s="1" t="s">
        <v>8</v>
      </c>
      <c r="D205" s="2">
        <v>45597</v>
      </c>
      <c r="E205" s="1" t="s">
        <v>15</v>
      </c>
      <c r="F205">
        <v>4083</v>
      </c>
      <c r="G205" s="1" t="s">
        <v>220</v>
      </c>
      <c r="H205" s="1">
        <v>2843652.5</v>
      </c>
      <c r="I205" s="1">
        <v>2830298.42</v>
      </c>
      <c r="J205" s="1">
        <v>50018.985000000001</v>
      </c>
      <c r="K205" s="1">
        <f>_SELECT_u_city_AS_Город_TO_CHAR_f_rental_start_YYYY_MM_AS_Месяц__202609232054[[#This Row],[Чистая Выручка]] * (1 + $B$4)</f>
        <v>2830298.42</v>
      </c>
      <c r="L205" s="1">
        <f>_SELECT_u_city_AS_Город_TO_CHAR_f_rental_start_YYYY_MM_AS_Месяц__202609232054[[#This Row],[Расходы на Ремонт]] * (1 + $B$5)</f>
        <v>50018.985000000001</v>
      </c>
      <c r="M20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2780279.4350000001</v>
      </c>
    </row>
    <row r="206" spans="3:13" x14ac:dyDescent="0.25">
      <c r="C206" s="1" t="s">
        <v>17</v>
      </c>
      <c r="D206" s="2">
        <v>45597</v>
      </c>
      <c r="E206" s="1" t="s">
        <v>9</v>
      </c>
      <c r="F206">
        <v>4270</v>
      </c>
      <c r="G206" s="1" t="s">
        <v>221</v>
      </c>
      <c r="H206" s="1">
        <v>2954412.5</v>
      </c>
      <c r="I206" s="1">
        <v>2939070.82</v>
      </c>
      <c r="J206" s="1">
        <v>0</v>
      </c>
      <c r="K206" s="1">
        <f>_SELECT_u_city_AS_Город_TO_CHAR_f_rental_start_YYYY_MM_AS_Месяц__202609232054[[#This Row],[Чистая Выручка]] * (1 + $B$4)</f>
        <v>2939070.82</v>
      </c>
      <c r="L206" s="1">
        <f>_SELECT_u_city_AS_Город_TO_CHAR_f_rental_start_YYYY_MM_AS_Месяц__202609232054[[#This Row],[Расходы на Ремонт]] * (1 + $B$5)</f>
        <v>0</v>
      </c>
      <c r="M20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2939070.82</v>
      </c>
    </row>
    <row r="207" spans="3:13" x14ac:dyDescent="0.25">
      <c r="C207" s="1" t="s">
        <v>17</v>
      </c>
      <c r="D207" s="2">
        <v>45597</v>
      </c>
      <c r="E207" s="1" t="s">
        <v>11</v>
      </c>
      <c r="F207">
        <v>4137</v>
      </c>
      <c r="G207" s="1" t="s">
        <v>222</v>
      </c>
      <c r="H207" s="1">
        <v>2885681.5</v>
      </c>
      <c r="I207" s="1">
        <v>2871611.55</v>
      </c>
      <c r="J207" s="1">
        <v>138203.29999999999</v>
      </c>
      <c r="K207" s="1">
        <f>_SELECT_u_city_AS_Город_TO_CHAR_f_rental_start_YYYY_MM_AS_Месяц__202609232054[[#This Row],[Чистая Выручка]] * (1 + $B$4)</f>
        <v>2871611.55</v>
      </c>
      <c r="L207" s="1">
        <f>_SELECT_u_city_AS_Город_TO_CHAR_f_rental_start_YYYY_MM_AS_Месяц__202609232054[[#This Row],[Расходы на Ремонт]] * (1 + $B$5)</f>
        <v>138203.29999999999</v>
      </c>
      <c r="M20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2733408.25</v>
      </c>
    </row>
    <row r="208" spans="3:13" x14ac:dyDescent="0.25">
      <c r="C208" s="1" t="s">
        <v>17</v>
      </c>
      <c r="D208" s="2">
        <v>45597</v>
      </c>
      <c r="E208" s="1" t="s">
        <v>13</v>
      </c>
      <c r="F208">
        <v>4231</v>
      </c>
      <c r="G208" s="1" t="s">
        <v>223</v>
      </c>
      <c r="H208" s="1">
        <v>2933489</v>
      </c>
      <c r="I208" s="1">
        <v>2919439.06</v>
      </c>
      <c r="J208" s="1">
        <v>70072.584000000003</v>
      </c>
      <c r="K208" s="1">
        <f>_SELECT_u_city_AS_Город_TO_CHAR_f_rental_start_YYYY_MM_AS_Месяц__202609232054[[#This Row],[Чистая Выручка]] * (1 + $B$4)</f>
        <v>2919439.06</v>
      </c>
      <c r="L208" s="1">
        <f>_SELECT_u_city_AS_Город_TO_CHAR_f_rental_start_YYYY_MM_AS_Месяц__202609232054[[#This Row],[Расходы на Ремонт]] * (1 + $B$5)</f>
        <v>70072.584000000003</v>
      </c>
      <c r="M20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2849366.4760000003</v>
      </c>
    </row>
    <row r="209" spans="3:13" x14ac:dyDescent="0.25">
      <c r="C209" s="1" t="s">
        <v>17</v>
      </c>
      <c r="D209" s="2">
        <v>45597</v>
      </c>
      <c r="E209" s="1" t="s">
        <v>15</v>
      </c>
      <c r="F209">
        <v>4101</v>
      </c>
      <c r="G209" s="1" t="s">
        <v>224</v>
      </c>
      <c r="H209" s="1">
        <v>2838421.5</v>
      </c>
      <c r="I209" s="1">
        <v>2825836.83</v>
      </c>
      <c r="J209" s="1">
        <v>50271.624000000003</v>
      </c>
      <c r="K209" s="1">
        <f>_SELECT_u_city_AS_Город_TO_CHAR_f_rental_start_YYYY_MM_AS_Месяц__202609232054[[#This Row],[Чистая Выручка]] * (1 + $B$4)</f>
        <v>2825836.83</v>
      </c>
      <c r="L209" s="1">
        <f>_SELECT_u_city_AS_Город_TO_CHAR_f_rental_start_YYYY_MM_AS_Месяц__202609232054[[#This Row],[Расходы на Ремонт]] * (1 + $B$5)</f>
        <v>50271.624000000003</v>
      </c>
      <c r="M20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2775565.2060000002</v>
      </c>
    </row>
    <row r="210" spans="3:13" x14ac:dyDescent="0.25">
      <c r="C210" s="1" t="s">
        <v>22</v>
      </c>
      <c r="D210" s="2">
        <v>45597</v>
      </c>
      <c r="E210" s="1" t="s">
        <v>9</v>
      </c>
      <c r="F210">
        <v>4353</v>
      </c>
      <c r="G210" s="1" t="s">
        <v>225</v>
      </c>
      <c r="H210" s="1">
        <v>3056413.5</v>
      </c>
      <c r="I210" s="1">
        <v>3041545.83</v>
      </c>
      <c r="J210" s="1">
        <v>0</v>
      </c>
      <c r="K210" s="1">
        <f>_SELECT_u_city_AS_Город_TO_CHAR_f_rental_start_YYYY_MM_AS_Месяц__202609232054[[#This Row],[Чистая Выручка]] * (1 + $B$4)</f>
        <v>3041545.83</v>
      </c>
      <c r="L210" s="1">
        <f>_SELECT_u_city_AS_Город_TO_CHAR_f_rental_start_YYYY_MM_AS_Месяц__202609232054[[#This Row],[Расходы на Ремонт]] * (1 + $B$5)</f>
        <v>0</v>
      </c>
      <c r="M21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3041545.83</v>
      </c>
    </row>
    <row r="211" spans="3:13" x14ac:dyDescent="0.25">
      <c r="C211" s="1" t="s">
        <v>22</v>
      </c>
      <c r="D211" s="2">
        <v>45597</v>
      </c>
      <c r="E211" s="1" t="s">
        <v>11</v>
      </c>
      <c r="F211">
        <v>4217</v>
      </c>
      <c r="G211" s="1" t="s">
        <v>226</v>
      </c>
      <c r="H211" s="1">
        <v>2935341.5</v>
      </c>
      <c r="I211" s="1">
        <v>2921172.52</v>
      </c>
      <c r="J211" s="1">
        <v>146075.07500000001</v>
      </c>
      <c r="K211" s="1">
        <f>_SELECT_u_city_AS_Город_TO_CHAR_f_rental_start_YYYY_MM_AS_Месяц__202609232054[[#This Row],[Чистая Выручка]] * (1 + $B$4)</f>
        <v>2921172.52</v>
      </c>
      <c r="L211" s="1">
        <f>_SELECT_u_city_AS_Город_TO_CHAR_f_rental_start_YYYY_MM_AS_Месяц__202609232054[[#This Row],[Расходы на Ремонт]] * (1 + $B$5)</f>
        <v>146075.07500000001</v>
      </c>
      <c r="M21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2775097.4449999998</v>
      </c>
    </row>
    <row r="212" spans="3:13" x14ac:dyDescent="0.25">
      <c r="C212" s="1" t="s">
        <v>22</v>
      </c>
      <c r="D212" s="2">
        <v>45597</v>
      </c>
      <c r="E212" s="1" t="s">
        <v>13</v>
      </c>
      <c r="F212">
        <v>4242</v>
      </c>
      <c r="G212" s="1" t="s">
        <v>227</v>
      </c>
      <c r="H212" s="1">
        <v>2932128</v>
      </c>
      <c r="I212" s="1">
        <v>2917747.98</v>
      </c>
      <c r="J212" s="1">
        <v>68584.259999999995</v>
      </c>
      <c r="K212" s="1">
        <f>_SELECT_u_city_AS_Город_TO_CHAR_f_rental_start_YYYY_MM_AS_Месяц__202609232054[[#This Row],[Чистая Выручка]] * (1 + $B$4)</f>
        <v>2917747.98</v>
      </c>
      <c r="L212" s="1">
        <f>_SELECT_u_city_AS_Город_TO_CHAR_f_rental_start_YYYY_MM_AS_Месяц__202609232054[[#This Row],[Расходы на Ремонт]] * (1 + $B$5)</f>
        <v>68584.259999999995</v>
      </c>
      <c r="M21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2849163.72</v>
      </c>
    </row>
    <row r="213" spans="3:13" x14ac:dyDescent="0.25">
      <c r="C213" s="1" t="s">
        <v>22</v>
      </c>
      <c r="D213" s="2">
        <v>45597</v>
      </c>
      <c r="E213" s="1" t="s">
        <v>15</v>
      </c>
      <c r="F213">
        <v>4143</v>
      </c>
      <c r="G213" s="1" t="s">
        <v>228</v>
      </c>
      <c r="H213" s="1">
        <v>2903798</v>
      </c>
      <c r="I213" s="1">
        <v>2890517.69</v>
      </c>
      <c r="J213" s="1">
        <v>51304.707000000002</v>
      </c>
      <c r="K213" s="1">
        <f>_SELECT_u_city_AS_Город_TO_CHAR_f_rental_start_YYYY_MM_AS_Месяц__202609232054[[#This Row],[Чистая Выручка]] * (1 + $B$4)</f>
        <v>2890517.69</v>
      </c>
      <c r="L213" s="1">
        <f>_SELECT_u_city_AS_Город_TO_CHAR_f_rental_start_YYYY_MM_AS_Месяц__202609232054[[#This Row],[Расходы на Ремонт]] * (1 + $B$5)</f>
        <v>51304.707000000002</v>
      </c>
      <c r="M21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2839212.983</v>
      </c>
    </row>
    <row r="214" spans="3:13" x14ac:dyDescent="0.25">
      <c r="C214" s="1" t="s">
        <v>27</v>
      </c>
      <c r="D214" s="2">
        <v>45597</v>
      </c>
      <c r="E214" s="1" t="s">
        <v>9</v>
      </c>
      <c r="F214">
        <v>4157</v>
      </c>
      <c r="G214" s="1" t="s">
        <v>229</v>
      </c>
      <c r="H214" s="1">
        <v>2917897.5</v>
      </c>
      <c r="I214" s="1">
        <v>2904914.8</v>
      </c>
      <c r="J214" s="1">
        <v>0</v>
      </c>
      <c r="K214" s="1">
        <f>_SELECT_u_city_AS_Город_TO_CHAR_f_rental_start_YYYY_MM_AS_Месяц__202609232054[[#This Row],[Чистая Выручка]] * (1 + $B$4)</f>
        <v>2904914.8</v>
      </c>
      <c r="L214" s="1">
        <f>_SELECT_u_city_AS_Город_TO_CHAR_f_rental_start_YYYY_MM_AS_Месяц__202609232054[[#This Row],[Расходы на Ремонт]] * (1 + $B$5)</f>
        <v>0</v>
      </c>
      <c r="M21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2904914.8</v>
      </c>
    </row>
    <row r="215" spans="3:13" x14ac:dyDescent="0.25">
      <c r="C215" s="1" t="s">
        <v>27</v>
      </c>
      <c r="D215" s="2">
        <v>45597</v>
      </c>
      <c r="E215" s="1" t="s">
        <v>11</v>
      </c>
      <c r="F215">
        <v>4107</v>
      </c>
      <c r="G215" s="1" t="s">
        <v>230</v>
      </c>
      <c r="H215" s="1">
        <v>2850973</v>
      </c>
      <c r="I215" s="1">
        <v>2836913.38</v>
      </c>
      <c r="J215" s="1">
        <v>139551.375</v>
      </c>
      <c r="K215" s="1">
        <f>_SELECT_u_city_AS_Город_TO_CHAR_f_rental_start_YYYY_MM_AS_Месяц__202609232054[[#This Row],[Чистая Выручка]] * (1 + $B$4)</f>
        <v>2836913.38</v>
      </c>
      <c r="L215" s="1">
        <f>_SELECT_u_city_AS_Город_TO_CHAR_f_rental_start_YYYY_MM_AS_Месяц__202609232054[[#This Row],[Расходы на Ремонт]] * (1 + $B$5)</f>
        <v>139551.375</v>
      </c>
      <c r="M21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2697362.0049999999</v>
      </c>
    </row>
    <row r="216" spans="3:13" x14ac:dyDescent="0.25">
      <c r="C216" s="1" t="s">
        <v>27</v>
      </c>
      <c r="D216" s="2">
        <v>45597</v>
      </c>
      <c r="E216" s="1" t="s">
        <v>13</v>
      </c>
      <c r="F216">
        <v>4132</v>
      </c>
      <c r="G216" s="1" t="s">
        <v>231</v>
      </c>
      <c r="H216" s="1">
        <v>2861111</v>
      </c>
      <c r="I216" s="1">
        <v>2847620.66</v>
      </c>
      <c r="J216" s="1">
        <v>67191.491999999998</v>
      </c>
      <c r="K216" s="1">
        <f>_SELECT_u_city_AS_Город_TO_CHAR_f_rental_start_YYYY_MM_AS_Месяц__202609232054[[#This Row],[Чистая Выручка]] * (1 + $B$4)</f>
        <v>2847620.66</v>
      </c>
      <c r="L216" s="1">
        <f>_SELECT_u_city_AS_Город_TO_CHAR_f_rental_start_YYYY_MM_AS_Месяц__202609232054[[#This Row],[Расходы на Ремонт]] * (1 + $B$5)</f>
        <v>67191.491999999998</v>
      </c>
      <c r="M21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2780429.1680000001</v>
      </c>
    </row>
    <row r="217" spans="3:13" x14ac:dyDescent="0.25">
      <c r="C217" s="1" t="s">
        <v>27</v>
      </c>
      <c r="D217" s="2">
        <v>45597</v>
      </c>
      <c r="E217" s="1" t="s">
        <v>15</v>
      </c>
      <c r="F217">
        <v>4110</v>
      </c>
      <c r="G217" s="1" t="s">
        <v>232</v>
      </c>
      <c r="H217" s="1">
        <v>2867941.5</v>
      </c>
      <c r="I217" s="1">
        <v>2854161.92</v>
      </c>
      <c r="J217" s="1">
        <v>50476.608</v>
      </c>
      <c r="K217" s="1">
        <f>_SELECT_u_city_AS_Город_TO_CHAR_f_rental_start_YYYY_MM_AS_Месяц__202609232054[[#This Row],[Чистая Выручка]] * (1 + $B$4)</f>
        <v>2854161.92</v>
      </c>
      <c r="L217" s="1">
        <f>_SELECT_u_city_AS_Город_TO_CHAR_f_rental_start_YYYY_MM_AS_Месяц__202609232054[[#This Row],[Расходы на Ремонт]] * (1 + $B$5)</f>
        <v>50476.608</v>
      </c>
      <c r="M21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2803685.3119999999</v>
      </c>
    </row>
    <row r="218" spans="3:13" x14ac:dyDescent="0.25">
      <c r="C218" s="1" t="s">
        <v>32</v>
      </c>
      <c r="D218" s="2">
        <v>45597</v>
      </c>
      <c r="E218" s="1" t="s">
        <v>9</v>
      </c>
      <c r="F218">
        <v>4172</v>
      </c>
      <c r="G218" s="1" t="s">
        <v>233</v>
      </c>
      <c r="H218" s="1">
        <v>2918901</v>
      </c>
      <c r="I218" s="1">
        <v>2905106.22</v>
      </c>
      <c r="J218" s="1">
        <v>0</v>
      </c>
      <c r="K218" s="1">
        <f>_SELECT_u_city_AS_Город_TO_CHAR_f_rental_start_YYYY_MM_AS_Месяц__202609232054[[#This Row],[Чистая Выручка]] * (1 + $B$4)</f>
        <v>2905106.22</v>
      </c>
      <c r="L218" s="1">
        <f>_SELECT_u_city_AS_Город_TO_CHAR_f_rental_start_YYYY_MM_AS_Месяц__202609232054[[#This Row],[Расходы на Ремонт]] * (1 + $B$5)</f>
        <v>0</v>
      </c>
      <c r="M21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2905106.22</v>
      </c>
    </row>
    <row r="219" spans="3:13" x14ac:dyDescent="0.25">
      <c r="C219" s="1" t="s">
        <v>32</v>
      </c>
      <c r="D219" s="2">
        <v>45597</v>
      </c>
      <c r="E219" s="1" t="s">
        <v>11</v>
      </c>
      <c r="F219">
        <v>4048</v>
      </c>
      <c r="G219" s="1" t="s">
        <v>234</v>
      </c>
      <c r="H219" s="1">
        <v>2857013</v>
      </c>
      <c r="I219" s="1">
        <v>2843175.09</v>
      </c>
      <c r="J219" s="1">
        <v>139843.375</v>
      </c>
      <c r="K219" s="1">
        <f>_SELECT_u_city_AS_Город_TO_CHAR_f_rental_start_YYYY_MM_AS_Месяц__202609232054[[#This Row],[Чистая Выручка]] * (1 + $B$4)</f>
        <v>2843175.09</v>
      </c>
      <c r="L219" s="1">
        <f>_SELECT_u_city_AS_Город_TO_CHAR_f_rental_start_YYYY_MM_AS_Месяц__202609232054[[#This Row],[Расходы на Ремонт]] * (1 + $B$5)</f>
        <v>139843.375</v>
      </c>
      <c r="M21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2703331.7149999999</v>
      </c>
    </row>
    <row r="220" spans="3:13" x14ac:dyDescent="0.25">
      <c r="C220" s="1" t="s">
        <v>32</v>
      </c>
      <c r="D220" s="2">
        <v>45597</v>
      </c>
      <c r="E220" s="1" t="s">
        <v>13</v>
      </c>
      <c r="F220">
        <v>4273</v>
      </c>
      <c r="G220" s="1" t="s">
        <v>235</v>
      </c>
      <c r="H220" s="1">
        <v>2950004</v>
      </c>
      <c r="I220" s="1">
        <v>2935854.8</v>
      </c>
      <c r="J220" s="1">
        <v>69296.796000000002</v>
      </c>
      <c r="K220" s="1">
        <f>_SELECT_u_city_AS_Город_TO_CHAR_f_rental_start_YYYY_MM_AS_Месяц__202609232054[[#This Row],[Чистая Выручка]] * (1 + $B$4)</f>
        <v>2935854.8</v>
      </c>
      <c r="L220" s="1">
        <f>_SELECT_u_city_AS_Город_TO_CHAR_f_rental_start_YYYY_MM_AS_Месяц__202609232054[[#This Row],[Расходы на Ремонт]] * (1 + $B$5)</f>
        <v>69296.796000000002</v>
      </c>
      <c r="M22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2866558.0039999997</v>
      </c>
    </row>
    <row r="221" spans="3:13" x14ac:dyDescent="0.25">
      <c r="C221" s="1" t="s">
        <v>32</v>
      </c>
      <c r="D221" s="2">
        <v>45597</v>
      </c>
      <c r="E221" s="1" t="s">
        <v>15</v>
      </c>
      <c r="F221">
        <v>3963</v>
      </c>
      <c r="G221" s="1" t="s">
        <v>236</v>
      </c>
      <c r="H221" s="1">
        <v>2744888.5</v>
      </c>
      <c r="I221" s="1">
        <v>2732120.32</v>
      </c>
      <c r="J221" s="1">
        <v>48152.781000000003</v>
      </c>
      <c r="K221" s="1">
        <f>_SELECT_u_city_AS_Город_TO_CHAR_f_rental_start_YYYY_MM_AS_Месяц__202609232054[[#This Row],[Чистая Выручка]] * (1 + $B$4)</f>
        <v>2732120.32</v>
      </c>
      <c r="L221" s="1">
        <f>_SELECT_u_city_AS_Город_TO_CHAR_f_rental_start_YYYY_MM_AS_Месяц__202609232054[[#This Row],[Расходы на Ремонт]] * (1 + $B$5)</f>
        <v>48152.781000000003</v>
      </c>
      <c r="M22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2683967.5389999999</v>
      </c>
    </row>
    <row r="222" spans="3:13" x14ac:dyDescent="0.25">
      <c r="C222" s="1" t="s">
        <v>8</v>
      </c>
      <c r="D222" s="2">
        <v>45627</v>
      </c>
      <c r="E222" s="1" t="s">
        <v>9</v>
      </c>
      <c r="F222">
        <v>4291</v>
      </c>
      <c r="G222" s="1" t="s">
        <v>237</v>
      </c>
      <c r="H222" s="1">
        <v>2995984.5</v>
      </c>
      <c r="I222" s="1">
        <v>2983379.79</v>
      </c>
      <c r="J222" s="1">
        <v>0</v>
      </c>
      <c r="K222" s="1">
        <f>_SELECT_u_city_AS_Город_TO_CHAR_f_rental_start_YYYY_MM_AS_Месяц__202609232054[[#This Row],[Чистая Выручка]] * (1 + $B$4)</f>
        <v>2983379.79</v>
      </c>
      <c r="L222" s="1">
        <f>_SELECT_u_city_AS_Город_TO_CHAR_f_rental_start_YYYY_MM_AS_Месяц__202609232054[[#This Row],[Расходы на Ремонт]] * (1 + $B$5)</f>
        <v>0</v>
      </c>
      <c r="M22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2983379.79</v>
      </c>
    </row>
    <row r="223" spans="3:13" x14ac:dyDescent="0.25">
      <c r="C223" s="1" t="s">
        <v>8</v>
      </c>
      <c r="D223" s="2">
        <v>45627</v>
      </c>
      <c r="E223" s="1" t="s">
        <v>11</v>
      </c>
      <c r="F223">
        <v>4061</v>
      </c>
      <c r="G223" s="1" t="s">
        <v>238</v>
      </c>
      <c r="H223" s="1">
        <v>2836271.5</v>
      </c>
      <c r="I223" s="1">
        <v>2822776.74</v>
      </c>
      <c r="J223" s="1">
        <v>138687.625</v>
      </c>
      <c r="K223" s="1">
        <f>_SELECT_u_city_AS_Город_TO_CHAR_f_rental_start_YYYY_MM_AS_Месяц__202609232054[[#This Row],[Чистая Выручка]] * (1 + $B$4)</f>
        <v>2822776.74</v>
      </c>
      <c r="L223" s="1">
        <f>_SELECT_u_city_AS_Город_TO_CHAR_f_rental_start_YYYY_MM_AS_Месяц__202609232054[[#This Row],[Расходы на Ремонт]] * (1 + $B$5)</f>
        <v>138687.625</v>
      </c>
      <c r="M22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2684089.1150000002</v>
      </c>
    </row>
    <row r="224" spans="3:13" x14ac:dyDescent="0.25">
      <c r="C224" s="1" t="s">
        <v>8</v>
      </c>
      <c r="D224" s="2">
        <v>45627</v>
      </c>
      <c r="E224" s="1" t="s">
        <v>13</v>
      </c>
      <c r="F224">
        <v>4199</v>
      </c>
      <c r="G224" s="1" t="s">
        <v>239</v>
      </c>
      <c r="H224" s="1">
        <v>2975401.5</v>
      </c>
      <c r="I224" s="1">
        <v>2961362.68</v>
      </c>
      <c r="J224" s="1">
        <v>70114.812000000005</v>
      </c>
      <c r="K224" s="1">
        <f>_SELECT_u_city_AS_Город_TO_CHAR_f_rental_start_YYYY_MM_AS_Месяц__202609232054[[#This Row],[Чистая Выручка]] * (1 + $B$4)</f>
        <v>2961362.68</v>
      </c>
      <c r="L224" s="1">
        <f>_SELECT_u_city_AS_Город_TO_CHAR_f_rental_start_YYYY_MM_AS_Месяц__202609232054[[#This Row],[Расходы на Ремонт]] * (1 + $B$5)</f>
        <v>70114.812000000005</v>
      </c>
      <c r="M22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2891247.8680000002</v>
      </c>
    </row>
    <row r="225" spans="3:13" x14ac:dyDescent="0.25">
      <c r="C225" s="1" t="s">
        <v>8</v>
      </c>
      <c r="D225" s="2">
        <v>45627</v>
      </c>
      <c r="E225" s="1" t="s">
        <v>15</v>
      </c>
      <c r="F225">
        <v>4150</v>
      </c>
      <c r="G225" s="1" t="s">
        <v>240</v>
      </c>
      <c r="H225" s="1">
        <v>2906171.5</v>
      </c>
      <c r="I225" s="1">
        <v>2892580.3</v>
      </c>
      <c r="J225" s="1">
        <v>51339.131999999998</v>
      </c>
      <c r="K225" s="1">
        <f>_SELECT_u_city_AS_Город_TO_CHAR_f_rental_start_YYYY_MM_AS_Месяц__202609232054[[#This Row],[Чистая Выручка]] * (1 + $B$4)</f>
        <v>2892580.3</v>
      </c>
      <c r="L225" s="1">
        <f>_SELECT_u_city_AS_Город_TO_CHAR_f_rental_start_YYYY_MM_AS_Месяц__202609232054[[#This Row],[Расходы на Ремонт]] * (1 + $B$5)</f>
        <v>51339.131999999998</v>
      </c>
      <c r="M22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2841241.1679999996</v>
      </c>
    </row>
    <row r="226" spans="3:13" x14ac:dyDescent="0.25">
      <c r="C226" s="1" t="s">
        <v>17</v>
      </c>
      <c r="D226" s="2">
        <v>45627</v>
      </c>
      <c r="E226" s="1" t="s">
        <v>9</v>
      </c>
      <c r="F226">
        <v>4221</v>
      </c>
      <c r="G226" s="1" t="s">
        <v>241</v>
      </c>
      <c r="H226" s="1">
        <v>2990815.5</v>
      </c>
      <c r="I226" s="1">
        <v>2977514.21</v>
      </c>
      <c r="J226" s="1">
        <v>0</v>
      </c>
      <c r="K226" s="1">
        <f>_SELECT_u_city_AS_Город_TO_CHAR_f_rental_start_YYYY_MM_AS_Месяц__202609232054[[#This Row],[Чистая Выручка]] * (1 + $B$4)</f>
        <v>2977514.21</v>
      </c>
      <c r="L226" s="1">
        <f>_SELECT_u_city_AS_Город_TO_CHAR_f_rental_start_YYYY_MM_AS_Месяц__202609232054[[#This Row],[Расходы на Ремонт]] * (1 + $B$5)</f>
        <v>0</v>
      </c>
      <c r="M22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2977514.21</v>
      </c>
    </row>
    <row r="227" spans="3:13" x14ac:dyDescent="0.25">
      <c r="C227" s="1" t="s">
        <v>17</v>
      </c>
      <c r="D227" s="2">
        <v>45627</v>
      </c>
      <c r="E227" s="1" t="s">
        <v>11</v>
      </c>
      <c r="F227">
        <v>4137</v>
      </c>
      <c r="G227" s="1" t="s">
        <v>242</v>
      </c>
      <c r="H227" s="1">
        <v>2848198</v>
      </c>
      <c r="I227" s="1">
        <v>2834189.27</v>
      </c>
      <c r="J227" s="1">
        <v>140175.42499999999</v>
      </c>
      <c r="K227" s="1">
        <f>_SELECT_u_city_AS_Город_TO_CHAR_f_rental_start_YYYY_MM_AS_Месяц__202609232054[[#This Row],[Чистая Выручка]] * (1 + $B$4)</f>
        <v>2834189.27</v>
      </c>
      <c r="L227" s="1">
        <f>_SELECT_u_city_AS_Город_TO_CHAR_f_rental_start_YYYY_MM_AS_Месяц__202609232054[[#This Row],[Расходы на Ремонт]] * (1 + $B$5)</f>
        <v>140175.42499999999</v>
      </c>
      <c r="M22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2694013.8450000002</v>
      </c>
    </row>
    <row r="228" spans="3:13" x14ac:dyDescent="0.25">
      <c r="C228" s="1" t="s">
        <v>17</v>
      </c>
      <c r="D228" s="2">
        <v>45627</v>
      </c>
      <c r="E228" s="1" t="s">
        <v>13</v>
      </c>
      <c r="F228">
        <v>4215</v>
      </c>
      <c r="G228" s="1" t="s">
        <v>243</v>
      </c>
      <c r="H228" s="1">
        <v>2933035</v>
      </c>
      <c r="I228" s="1">
        <v>2919447.38</v>
      </c>
      <c r="J228" s="1">
        <v>69264.216</v>
      </c>
      <c r="K228" s="1">
        <f>_SELECT_u_city_AS_Город_TO_CHAR_f_rental_start_YYYY_MM_AS_Месяц__202609232054[[#This Row],[Чистая Выручка]] * (1 + $B$4)</f>
        <v>2919447.38</v>
      </c>
      <c r="L228" s="1">
        <f>_SELECT_u_city_AS_Город_TO_CHAR_f_rental_start_YYYY_MM_AS_Месяц__202609232054[[#This Row],[Расходы на Ремонт]] * (1 + $B$5)</f>
        <v>69264.216</v>
      </c>
      <c r="M22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2850183.1639999999</v>
      </c>
    </row>
    <row r="229" spans="3:13" x14ac:dyDescent="0.25">
      <c r="C229" s="1" t="s">
        <v>17</v>
      </c>
      <c r="D229" s="2">
        <v>45627</v>
      </c>
      <c r="E229" s="1" t="s">
        <v>15</v>
      </c>
      <c r="F229">
        <v>4175</v>
      </c>
      <c r="G229" s="1" t="s">
        <v>244</v>
      </c>
      <c r="H229" s="1">
        <v>2932587.5</v>
      </c>
      <c r="I229" s="1">
        <v>2918520.57</v>
      </c>
      <c r="J229" s="1">
        <v>51653.781000000003</v>
      </c>
      <c r="K229" s="1">
        <f>_SELECT_u_city_AS_Город_TO_CHAR_f_rental_start_YYYY_MM_AS_Месяц__202609232054[[#This Row],[Чистая Выручка]] * (1 + $B$4)</f>
        <v>2918520.57</v>
      </c>
      <c r="L229" s="1">
        <f>_SELECT_u_city_AS_Город_TO_CHAR_f_rental_start_YYYY_MM_AS_Месяц__202609232054[[#This Row],[Расходы на Ремонт]] * (1 + $B$5)</f>
        <v>51653.781000000003</v>
      </c>
      <c r="M22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2866866.7889999999</v>
      </c>
    </row>
    <row r="230" spans="3:13" x14ac:dyDescent="0.25">
      <c r="C230" s="1" t="s">
        <v>22</v>
      </c>
      <c r="D230" s="2">
        <v>45627</v>
      </c>
      <c r="E230" s="1" t="s">
        <v>9</v>
      </c>
      <c r="F230">
        <v>4289</v>
      </c>
      <c r="G230" s="1" t="s">
        <v>245</v>
      </c>
      <c r="H230" s="1">
        <v>3026866.5</v>
      </c>
      <c r="I230" s="1">
        <v>3011703.57</v>
      </c>
      <c r="J230" s="1">
        <v>0</v>
      </c>
      <c r="K230" s="1">
        <f>_SELECT_u_city_AS_Город_TO_CHAR_f_rental_start_YYYY_MM_AS_Месяц__202609232054[[#This Row],[Чистая Выручка]] * (1 + $B$4)</f>
        <v>3011703.57</v>
      </c>
      <c r="L230" s="1">
        <f>_SELECT_u_city_AS_Город_TO_CHAR_f_rental_start_YYYY_MM_AS_Месяц__202609232054[[#This Row],[Расходы на Ремонт]] * (1 + $B$5)</f>
        <v>0</v>
      </c>
      <c r="M23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3011703.57</v>
      </c>
    </row>
    <row r="231" spans="3:13" x14ac:dyDescent="0.25">
      <c r="C231" s="1" t="s">
        <v>22</v>
      </c>
      <c r="D231" s="2">
        <v>45627</v>
      </c>
      <c r="E231" s="1" t="s">
        <v>11</v>
      </c>
      <c r="F231">
        <v>4212</v>
      </c>
      <c r="G231" s="1" t="s">
        <v>246</v>
      </c>
      <c r="H231" s="1">
        <v>2919208.5</v>
      </c>
      <c r="I231" s="1">
        <v>2905441.68</v>
      </c>
      <c r="J231" s="1">
        <v>143166.95000000001</v>
      </c>
      <c r="K231" s="1">
        <f>_SELECT_u_city_AS_Город_TO_CHAR_f_rental_start_YYYY_MM_AS_Месяц__202609232054[[#This Row],[Чистая Выручка]] * (1 + $B$4)</f>
        <v>2905441.68</v>
      </c>
      <c r="L231" s="1">
        <f>_SELECT_u_city_AS_Город_TO_CHAR_f_rental_start_YYYY_MM_AS_Месяц__202609232054[[#This Row],[Расходы на Ремонт]] * (1 + $B$5)</f>
        <v>143166.95000000001</v>
      </c>
      <c r="M23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2762274.73</v>
      </c>
    </row>
    <row r="232" spans="3:13" x14ac:dyDescent="0.25">
      <c r="C232" s="1" t="s">
        <v>22</v>
      </c>
      <c r="D232" s="2">
        <v>45627</v>
      </c>
      <c r="E232" s="1" t="s">
        <v>13</v>
      </c>
      <c r="F232">
        <v>4367</v>
      </c>
      <c r="G232" s="1" t="s">
        <v>247</v>
      </c>
      <c r="H232" s="1">
        <v>3039086.5</v>
      </c>
      <c r="I232" s="1">
        <v>3024287.3</v>
      </c>
      <c r="J232" s="1">
        <v>71841.203999999998</v>
      </c>
      <c r="K232" s="1">
        <f>_SELECT_u_city_AS_Город_TO_CHAR_f_rental_start_YYYY_MM_AS_Месяц__202609232054[[#This Row],[Чистая Выручка]] * (1 + $B$4)</f>
        <v>3024287.3</v>
      </c>
      <c r="L232" s="1">
        <f>_SELECT_u_city_AS_Город_TO_CHAR_f_rental_start_YYYY_MM_AS_Месяц__202609232054[[#This Row],[Расходы на Ремонт]] * (1 + $B$5)</f>
        <v>71841.203999999998</v>
      </c>
      <c r="M23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2952446.0959999999</v>
      </c>
    </row>
    <row r="233" spans="3:13" x14ac:dyDescent="0.25">
      <c r="C233" s="1" t="s">
        <v>22</v>
      </c>
      <c r="D233" s="2">
        <v>45627</v>
      </c>
      <c r="E233" s="1" t="s">
        <v>15</v>
      </c>
      <c r="F233">
        <v>4058</v>
      </c>
      <c r="G233" s="1" t="s">
        <v>248</v>
      </c>
      <c r="H233" s="1">
        <v>2821948.5</v>
      </c>
      <c r="I233" s="1">
        <v>2808510.81</v>
      </c>
      <c r="J233" s="1">
        <v>49737.500999999997</v>
      </c>
      <c r="K233" s="1">
        <f>_SELECT_u_city_AS_Город_TO_CHAR_f_rental_start_YYYY_MM_AS_Месяц__202609232054[[#This Row],[Чистая Выручка]] * (1 + $B$4)</f>
        <v>2808510.81</v>
      </c>
      <c r="L233" s="1">
        <f>_SELECT_u_city_AS_Город_TO_CHAR_f_rental_start_YYYY_MM_AS_Месяц__202609232054[[#This Row],[Расходы на Ремонт]] * (1 + $B$5)</f>
        <v>49737.500999999997</v>
      </c>
      <c r="M23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2758773.3089999999</v>
      </c>
    </row>
    <row r="234" spans="3:13" x14ac:dyDescent="0.25">
      <c r="C234" s="1" t="s">
        <v>27</v>
      </c>
      <c r="D234" s="2">
        <v>45627</v>
      </c>
      <c r="E234" s="1" t="s">
        <v>9</v>
      </c>
      <c r="F234">
        <v>4186</v>
      </c>
      <c r="G234" s="1" t="s">
        <v>249</v>
      </c>
      <c r="H234" s="1">
        <v>2896921</v>
      </c>
      <c r="I234" s="1">
        <v>2882869.99</v>
      </c>
      <c r="J234" s="1">
        <v>0</v>
      </c>
      <c r="K234" s="1">
        <f>_SELECT_u_city_AS_Город_TO_CHAR_f_rental_start_YYYY_MM_AS_Месяц__202609232054[[#This Row],[Чистая Выручка]] * (1 + $B$4)</f>
        <v>2882869.99</v>
      </c>
      <c r="L234" s="1">
        <f>_SELECT_u_city_AS_Город_TO_CHAR_f_rental_start_YYYY_MM_AS_Месяц__202609232054[[#This Row],[Расходы на Ремонт]] * (1 + $B$5)</f>
        <v>0</v>
      </c>
      <c r="M23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2882869.99</v>
      </c>
    </row>
    <row r="235" spans="3:13" x14ac:dyDescent="0.25">
      <c r="C235" s="1" t="s">
        <v>27</v>
      </c>
      <c r="D235" s="2">
        <v>45627</v>
      </c>
      <c r="E235" s="1" t="s">
        <v>11</v>
      </c>
      <c r="F235">
        <v>4174</v>
      </c>
      <c r="G235" s="1" t="s">
        <v>250</v>
      </c>
      <c r="H235" s="1">
        <v>2915020.5</v>
      </c>
      <c r="I235" s="1">
        <v>2901954.57</v>
      </c>
      <c r="J235" s="1">
        <v>141745.85</v>
      </c>
      <c r="K235" s="1">
        <f>_SELECT_u_city_AS_Город_TO_CHAR_f_rental_start_YYYY_MM_AS_Месяц__202609232054[[#This Row],[Чистая Выручка]] * (1 + $B$4)</f>
        <v>2901954.57</v>
      </c>
      <c r="L235" s="1">
        <f>_SELECT_u_city_AS_Город_TO_CHAR_f_rental_start_YYYY_MM_AS_Месяц__202609232054[[#This Row],[Расходы на Ремонт]] * (1 + $B$5)</f>
        <v>141745.85</v>
      </c>
      <c r="M23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2760208.7199999997</v>
      </c>
    </row>
    <row r="236" spans="3:13" x14ac:dyDescent="0.25">
      <c r="C236" s="1" t="s">
        <v>27</v>
      </c>
      <c r="D236" s="2">
        <v>45627</v>
      </c>
      <c r="E236" s="1" t="s">
        <v>13</v>
      </c>
      <c r="F236">
        <v>4097</v>
      </c>
      <c r="G236" s="1" t="s">
        <v>251</v>
      </c>
      <c r="H236" s="1">
        <v>2854773</v>
      </c>
      <c r="I236" s="1">
        <v>2840224.51</v>
      </c>
      <c r="J236" s="1">
        <v>67529.868000000002</v>
      </c>
      <c r="K236" s="1">
        <f>_SELECT_u_city_AS_Город_TO_CHAR_f_rental_start_YYYY_MM_AS_Месяц__202609232054[[#This Row],[Чистая Выручка]] * (1 + $B$4)</f>
        <v>2840224.51</v>
      </c>
      <c r="L236" s="1">
        <f>_SELECT_u_city_AS_Город_TO_CHAR_f_rental_start_YYYY_MM_AS_Месяц__202609232054[[#This Row],[Расходы на Ремонт]] * (1 + $B$5)</f>
        <v>67529.868000000002</v>
      </c>
      <c r="M23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2772694.642</v>
      </c>
    </row>
    <row r="237" spans="3:13" x14ac:dyDescent="0.25">
      <c r="C237" s="1" t="s">
        <v>27</v>
      </c>
      <c r="D237" s="2">
        <v>45627</v>
      </c>
      <c r="E237" s="1" t="s">
        <v>15</v>
      </c>
      <c r="F237">
        <v>4078</v>
      </c>
      <c r="G237" s="1" t="s">
        <v>252</v>
      </c>
      <c r="H237" s="1">
        <v>2820173</v>
      </c>
      <c r="I237" s="1">
        <v>2805661.88</v>
      </c>
      <c r="J237" s="1">
        <v>49570.010999999999</v>
      </c>
      <c r="K237" s="1">
        <f>_SELECT_u_city_AS_Город_TO_CHAR_f_rental_start_YYYY_MM_AS_Месяц__202609232054[[#This Row],[Чистая Выручка]] * (1 + $B$4)</f>
        <v>2805661.88</v>
      </c>
      <c r="L237" s="1">
        <f>_SELECT_u_city_AS_Город_TO_CHAR_f_rental_start_YYYY_MM_AS_Месяц__202609232054[[#This Row],[Расходы на Ремонт]] * (1 + $B$5)</f>
        <v>49570.010999999999</v>
      </c>
      <c r="M23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2756091.8689999999</v>
      </c>
    </row>
    <row r="238" spans="3:13" x14ac:dyDescent="0.25">
      <c r="C238" s="1" t="s">
        <v>32</v>
      </c>
      <c r="D238" s="2">
        <v>45627</v>
      </c>
      <c r="E238" s="1" t="s">
        <v>9</v>
      </c>
      <c r="F238">
        <v>4048</v>
      </c>
      <c r="G238" s="1" t="s">
        <v>253</v>
      </c>
      <c r="H238" s="1">
        <v>2808232</v>
      </c>
      <c r="I238" s="1">
        <v>2794919.51</v>
      </c>
      <c r="J238" s="1">
        <v>0</v>
      </c>
      <c r="K238" s="1">
        <f>_SELECT_u_city_AS_Город_TO_CHAR_f_rental_start_YYYY_MM_AS_Месяц__202609232054[[#This Row],[Чистая Выручка]] * (1 + $B$4)</f>
        <v>2794919.51</v>
      </c>
      <c r="L238" s="1">
        <f>_SELECT_u_city_AS_Город_TO_CHAR_f_rental_start_YYYY_MM_AS_Месяц__202609232054[[#This Row],[Расходы на Ремонт]] * (1 + $B$5)</f>
        <v>0</v>
      </c>
      <c r="M23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2794919.51</v>
      </c>
    </row>
    <row r="239" spans="3:13" x14ac:dyDescent="0.25">
      <c r="C239" s="1" t="s">
        <v>32</v>
      </c>
      <c r="D239" s="2">
        <v>45627</v>
      </c>
      <c r="E239" s="1" t="s">
        <v>11</v>
      </c>
      <c r="F239">
        <v>4153</v>
      </c>
      <c r="G239" s="1" t="s">
        <v>254</v>
      </c>
      <c r="H239" s="1">
        <v>2937606</v>
      </c>
      <c r="I239" s="1">
        <v>2924141.01</v>
      </c>
      <c r="J239" s="1">
        <v>142791.375</v>
      </c>
      <c r="K239" s="1">
        <f>_SELECT_u_city_AS_Город_TO_CHAR_f_rental_start_YYYY_MM_AS_Месяц__202609232054[[#This Row],[Чистая Выручка]] * (1 + $B$4)</f>
        <v>2924141.01</v>
      </c>
      <c r="L239" s="1">
        <f>_SELECT_u_city_AS_Город_TO_CHAR_f_rental_start_YYYY_MM_AS_Месяц__202609232054[[#This Row],[Расходы на Ремонт]] * (1 + $B$5)</f>
        <v>142791.375</v>
      </c>
      <c r="M23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2781349.6349999998</v>
      </c>
    </row>
    <row r="240" spans="3:13" x14ac:dyDescent="0.25">
      <c r="C240" s="1" t="s">
        <v>32</v>
      </c>
      <c r="D240" s="2">
        <v>45627</v>
      </c>
      <c r="E240" s="1" t="s">
        <v>13</v>
      </c>
      <c r="F240">
        <v>4271</v>
      </c>
      <c r="G240" s="1" t="s">
        <v>255</v>
      </c>
      <c r="H240" s="1">
        <v>2950835</v>
      </c>
      <c r="I240" s="1">
        <v>2935792.9</v>
      </c>
      <c r="J240" s="1">
        <v>68933.64</v>
      </c>
      <c r="K240" s="1">
        <f>_SELECT_u_city_AS_Город_TO_CHAR_f_rental_start_YYYY_MM_AS_Месяц__202609232054[[#This Row],[Чистая Выручка]] * (1 + $B$4)</f>
        <v>2935792.9</v>
      </c>
      <c r="L240" s="1">
        <f>_SELECT_u_city_AS_Город_TO_CHAR_f_rental_start_YYYY_MM_AS_Месяц__202609232054[[#This Row],[Расходы на Ремонт]] * (1 + $B$5)</f>
        <v>68933.64</v>
      </c>
      <c r="M24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2866859.26</v>
      </c>
    </row>
    <row r="241" spans="3:13" x14ac:dyDescent="0.25">
      <c r="C241" s="1" t="s">
        <v>32</v>
      </c>
      <c r="D241" s="2">
        <v>45627</v>
      </c>
      <c r="E241" s="1" t="s">
        <v>15</v>
      </c>
      <c r="F241">
        <v>4054</v>
      </c>
      <c r="G241" s="1" t="s">
        <v>256</v>
      </c>
      <c r="H241" s="1">
        <v>2866909</v>
      </c>
      <c r="I241" s="1">
        <v>2853142.52</v>
      </c>
      <c r="J241" s="1">
        <v>50426.379000000001</v>
      </c>
      <c r="K241" s="1">
        <f>_SELECT_u_city_AS_Город_TO_CHAR_f_rental_start_YYYY_MM_AS_Месяц__202609232054[[#This Row],[Чистая Выручка]] * (1 + $B$4)</f>
        <v>2853142.52</v>
      </c>
      <c r="L241" s="1">
        <f>_SELECT_u_city_AS_Город_TO_CHAR_f_rental_start_YYYY_MM_AS_Месяц__202609232054[[#This Row],[Расходы на Ремонт]] * (1 + $B$5)</f>
        <v>50426.379000000001</v>
      </c>
      <c r="M24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2802716.1409999998</v>
      </c>
    </row>
    <row r="242" spans="3:13" x14ac:dyDescent="0.25">
      <c r="C242" s="1" t="s">
        <v>8</v>
      </c>
      <c r="D242" s="2">
        <v>45658</v>
      </c>
      <c r="E242" s="1" t="s">
        <v>9</v>
      </c>
      <c r="F242">
        <v>4294</v>
      </c>
      <c r="G242" s="1" t="s">
        <v>257</v>
      </c>
      <c r="H242" s="1">
        <v>3004269.5</v>
      </c>
      <c r="I242" s="1">
        <v>2989972.19</v>
      </c>
      <c r="J242" s="1">
        <v>0</v>
      </c>
      <c r="K242" s="1">
        <f>_SELECT_u_city_AS_Город_TO_CHAR_f_rental_start_YYYY_MM_AS_Месяц__202609232054[[#This Row],[Чистая Выручка]] * (1 + $B$4)</f>
        <v>2989972.19</v>
      </c>
      <c r="L242" s="1">
        <f>_SELECT_u_city_AS_Город_TO_CHAR_f_rental_start_YYYY_MM_AS_Месяц__202609232054[[#This Row],[Расходы на Ремонт]] * (1 + $B$5)</f>
        <v>0</v>
      </c>
      <c r="M24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2989972.19</v>
      </c>
    </row>
    <row r="243" spans="3:13" x14ac:dyDescent="0.25">
      <c r="C243" s="1" t="s">
        <v>8</v>
      </c>
      <c r="D243" s="2">
        <v>45658</v>
      </c>
      <c r="E243" s="1" t="s">
        <v>11</v>
      </c>
      <c r="F243">
        <v>4173</v>
      </c>
      <c r="G243" s="1" t="s">
        <v>258</v>
      </c>
      <c r="H243" s="1">
        <v>2931421</v>
      </c>
      <c r="I243" s="1">
        <v>2917589.05</v>
      </c>
      <c r="J243" s="1">
        <v>142885.95000000001</v>
      </c>
      <c r="K243" s="1">
        <f>_SELECT_u_city_AS_Город_TO_CHAR_f_rental_start_YYYY_MM_AS_Месяц__202609232054[[#This Row],[Чистая Выручка]] * (1 + $B$4)</f>
        <v>2917589.05</v>
      </c>
      <c r="L243" s="1">
        <f>_SELECT_u_city_AS_Город_TO_CHAR_f_rental_start_YYYY_MM_AS_Месяц__202609232054[[#This Row],[Расходы на Ремонт]] * (1 + $B$5)</f>
        <v>142885.95000000001</v>
      </c>
      <c r="M24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2774703.0999999996</v>
      </c>
    </row>
    <row r="244" spans="3:13" x14ac:dyDescent="0.25">
      <c r="C244" s="1" t="s">
        <v>8</v>
      </c>
      <c r="D244" s="2">
        <v>45658</v>
      </c>
      <c r="E244" s="1" t="s">
        <v>13</v>
      </c>
      <c r="F244">
        <v>4081</v>
      </c>
      <c r="G244" s="1" t="s">
        <v>259</v>
      </c>
      <c r="H244" s="1">
        <v>2860160.5</v>
      </c>
      <c r="I244" s="1">
        <v>2845800.76</v>
      </c>
      <c r="J244" s="1">
        <v>67186.512000000002</v>
      </c>
      <c r="K244" s="1">
        <f>_SELECT_u_city_AS_Город_TO_CHAR_f_rental_start_YYYY_MM_AS_Месяц__202609232054[[#This Row],[Чистая Выручка]] * (1 + $B$4)</f>
        <v>2845800.76</v>
      </c>
      <c r="L244" s="1">
        <f>_SELECT_u_city_AS_Город_TO_CHAR_f_rental_start_YYYY_MM_AS_Месяц__202609232054[[#This Row],[Расходы на Ремонт]] * (1 + $B$5)</f>
        <v>67186.512000000002</v>
      </c>
      <c r="M24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2778614.2479999997</v>
      </c>
    </row>
    <row r="245" spans="3:13" x14ac:dyDescent="0.25">
      <c r="C245" s="1" t="s">
        <v>8</v>
      </c>
      <c r="D245" s="2">
        <v>45658</v>
      </c>
      <c r="E245" s="1" t="s">
        <v>15</v>
      </c>
      <c r="F245">
        <v>4132</v>
      </c>
      <c r="G245" s="1" t="s">
        <v>260</v>
      </c>
      <c r="H245" s="1">
        <v>2894031</v>
      </c>
      <c r="I245" s="1">
        <v>2879417.28</v>
      </c>
      <c r="J245" s="1">
        <v>50895.620999999999</v>
      </c>
      <c r="K245" s="1">
        <f>_SELECT_u_city_AS_Город_TO_CHAR_f_rental_start_YYYY_MM_AS_Месяц__202609232054[[#This Row],[Чистая Выручка]] * (1 + $B$4)</f>
        <v>2879417.28</v>
      </c>
      <c r="L245" s="1">
        <f>_SELECT_u_city_AS_Город_TO_CHAR_f_rental_start_YYYY_MM_AS_Месяц__202609232054[[#This Row],[Расходы на Ремонт]] * (1 + $B$5)</f>
        <v>50895.620999999999</v>
      </c>
      <c r="M24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2828521.659</v>
      </c>
    </row>
    <row r="246" spans="3:13" x14ac:dyDescent="0.25">
      <c r="C246" s="1" t="s">
        <v>17</v>
      </c>
      <c r="D246" s="2">
        <v>45658</v>
      </c>
      <c r="E246" s="1" t="s">
        <v>9</v>
      </c>
      <c r="F246">
        <v>4257</v>
      </c>
      <c r="G246" s="1" t="s">
        <v>261</v>
      </c>
      <c r="H246" s="1">
        <v>2959289</v>
      </c>
      <c r="I246" s="1">
        <v>2944614.91</v>
      </c>
      <c r="J246" s="1">
        <v>0</v>
      </c>
      <c r="K246" s="1">
        <f>_SELECT_u_city_AS_Город_TO_CHAR_f_rental_start_YYYY_MM_AS_Месяц__202609232054[[#This Row],[Чистая Выручка]] * (1 + $B$4)</f>
        <v>2944614.91</v>
      </c>
      <c r="L246" s="1">
        <f>_SELECT_u_city_AS_Город_TO_CHAR_f_rental_start_YYYY_MM_AS_Месяц__202609232054[[#This Row],[Расходы на Ремонт]] * (1 + $B$5)</f>
        <v>0</v>
      </c>
      <c r="M24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2944614.91</v>
      </c>
    </row>
    <row r="247" spans="3:13" x14ac:dyDescent="0.25">
      <c r="C247" s="1" t="s">
        <v>17</v>
      </c>
      <c r="D247" s="2">
        <v>45658</v>
      </c>
      <c r="E247" s="1" t="s">
        <v>11</v>
      </c>
      <c r="F247">
        <v>4120</v>
      </c>
      <c r="G247" s="1" t="s">
        <v>262</v>
      </c>
      <c r="H247" s="1">
        <v>2889736.5</v>
      </c>
      <c r="I247" s="1">
        <v>2876529.88</v>
      </c>
      <c r="J247" s="1">
        <v>140318.35</v>
      </c>
      <c r="K247" s="1">
        <f>_SELECT_u_city_AS_Город_TO_CHAR_f_rental_start_YYYY_MM_AS_Месяц__202609232054[[#This Row],[Чистая Выручка]] * (1 + $B$4)</f>
        <v>2876529.88</v>
      </c>
      <c r="L247" s="1">
        <f>_SELECT_u_city_AS_Город_TO_CHAR_f_rental_start_YYYY_MM_AS_Месяц__202609232054[[#This Row],[Расходы на Ремонт]] * (1 + $B$5)</f>
        <v>140318.35</v>
      </c>
      <c r="M24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2736211.53</v>
      </c>
    </row>
    <row r="248" spans="3:13" x14ac:dyDescent="0.25">
      <c r="C248" s="1" t="s">
        <v>17</v>
      </c>
      <c r="D248" s="2">
        <v>45658</v>
      </c>
      <c r="E248" s="1" t="s">
        <v>13</v>
      </c>
      <c r="F248">
        <v>4303</v>
      </c>
      <c r="G248" s="1" t="s">
        <v>263</v>
      </c>
      <c r="H248" s="1">
        <v>2986508</v>
      </c>
      <c r="I248" s="1">
        <v>2971829.3</v>
      </c>
      <c r="J248" s="1">
        <v>70715.207999999999</v>
      </c>
      <c r="K248" s="1">
        <f>_SELECT_u_city_AS_Город_TO_CHAR_f_rental_start_YYYY_MM_AS_Месяц__202609232054[[#This Row],[Чистая Выручка]] * (1 + $B$4)</f>
        <v>2971829.3</v>
      </c>
      <c r="L248" s="1">
        <f>_SELECT_u_city_AS_Город_TO_CHAR_f_rental_start_YYYY_MM_AS_Месяц__202609232054[[#This Row],[Расходы на Ремонт]] * (1 + $B$5)</f>
        <v>70715.207999999999</v>
      </c>
      <c r="M24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2901114.0919999997</v>
      </c>
    </row>
    <row r="249" spans="3:13" x14ac:dyDescent="0.25">
      <c r="C249" s="1" t="s">
        <v>17</v>
      </c>
      <c r="D249" s="2">
        <v>45658</v>
      </c>
      <c r="E249" s="1" t="s">
        <v>15</v>
      </c>
      <c r="F249">
        <v>4082</v>
      </c>
      <c r="G249" s="1" t="s">
        <v>264</v>
      </c>
      <c r="H249" s="1">
        <v>2856781.5</v>
      </c>
      <c r="I249" s="1">
        <v>2843210.74</v>
      </c>
      <c r="J249" s="1">
        <v>50451.525000000001</v>
      </c>
      <c r="K249" s="1">
        <f>_SELECT_u_city_AS_Город_TO_CHAR_f_rental_start_YYYY_MM_AS_Месяц__202609232054[[#This Row],[Чистая Выручка]] * (1 + $B$4)</f>
        <v>2843210.74</v>
      </c>
      <c r="L249" s="1">
        <f>_SELECT_u_city_AS_Город_TO_CHAR_f_rental_start_YYYY_MM_AS_Месяц__202609232054[[#This Row],[Расходы на Ремонт]] * (1 + $B$5)</f>
        <v>50451.525000000001</v>
      </c>
      <c r="M24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2792759.2150000003</v>
      </c>
    </row>
    <row r="250" spans="3:13" x14ac:dyDescent="0.25">
      <c r="C250" s="1" t="s">
        <v>22</v>
      </c>
      <c r="D250" s="2">
        <v>45658</v>
      </c>
      <c r="E250" s="1" t="s">
        <v>9</v>
      </c>
      <c r="F250">
        <v>4132</v>
      </c>
      <c r="G250" s="1" t="s">
        <v>265</v>
      </c>
      <c r="H250" s="1">
        <v>2907135.5</v>
      </c>
      <c r="I250" s="1">
        <v>2892759.62</v>
      </c>
      <c r="J250" s="1">
        <v>0</v>
      </c>
      <c r="K250" s="1">
        <f>_SELECT_u_city_AS_Город_TO_CHAR_f_rental_start_YYYY_MM_AS_Месяц__202609232054[[#This Row],[Чистая Выручка]] * (1 + $B$4)</f>
        <v>2892759.62</v>
      </c>
      <c r="L250" s="1">
        <f>_SELECT_u_city_AS_Город_TO_CHAR_f_rental_start_YYYY_MM_AS_Месяц__202609232054[[#This Row],[Расходы на Ремонт]] * (1 + $B$5)</f>
        <v>0</v>
      </c>
      <c r="M25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2892759.62</v>
      </c>
    </row>
    <row r="251" spans="3:13" x14ac:dyDescent="0.25">
      <c r="C251" s="1" t="s">
        <v>22</v>
      </c>
      <c r="D251" s="2">
        <v>45658</v>
      </c>
      <c r="E251" s="1" t="s">
        <v>11</v>
      </c>
      <c r="F251">
        <v>4288</v>
      </c>
      <c r="G251" s="1" t="s">
        <v>266</v>
      </c>
      <c r="H251" s="1">
        <v>3009140</v>
      </c>
      <c r="I251" s="1">
        <v>2993951.5</v>
      </c>
      <c r="J251" s="1">
        <v>145800.82500000001</v>
      </c>
      <c r="K251" s="1">
        <f>_SELECT_u_city_AS_Город_TO_CHAR_f_rental_start_YYYY_MM_AS_Месяц__202609232054[[#This Row],[Чистая Выручка]] * (1 + $B$4)</f>
        <v>2993951.5</v>
      </c>
      <c r="L251" s="1">
        <f>_SELECT_u_city_AS_Город_TO_CHAR_f_rental_start_YYYY_MM_AS_Месяц__202609232054[[#This Row],[Расходы на Ремонт]] * (1 + $B$5)</f>
        <v>145800.82500000001</v>
      </c>
      <c r="M25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2848150.6749999998</v>
      </c>
    </row>
    <row r="252" spans="3:13" x14ac:dyDescent="0.25">
      <c r="C252" s="1" t="s">
        <v>22</v>
      </c>
      <c r="D252" s="2">
        <v>45658</v>
      </c>
      <c r="E252" s="1" t="s">
        <v>13</v>
      </c>
      <c r="F252">
        <v>4251</v>
      </c>
      <c r="G252" s="1" t="s">
        <v>267</v>
      </c>
      <c r="H252" s="1">
        <v>2969660.5</v>
      </c>
      <c r="I252" s="1">
        <v>2956066.35</v>
      </c>
      <c r="J252" s="1">
        <v>70468.932000000001</v>
      </c>
      <c r="K252" s="1">
        <f>_SELECT_u_city_AS_Город_TO_CHAR_f_rental_start_YYYY_MM_AS_Месяц__202609232054[[#This Row],[Чистая Выручка]] * (1 + $B$4)</f>
        <v>2956066.35</v>
      </c>
      <c r="L252" s="1">
        <f>_SELECT_u_city_AS_Город_TO_CHAR_f_rental_start_YYYY_MM_AS_Месяц__202609232054[[#This Row],[Расходы на Ремонт]] * (1 + $B$5)</f>
        <v>70468.932000000001</v>
      </c>
      <c r="M25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2885597.4180000001</v>
      </c>
    </row>
    <row r="253" spans="3:13" x14ac:dyDescent="0.25">
      <c r="C253" s="1" t="s">
        <v>22</v>
      </c>
      <c r="D253" s="2">
        <v>45658</v>
      </c>
      <c r="E253" s="1" t="s">
        <v>15</v>
      </c>
      <c r="F253">
        <v>4195</v>
      </c>
      <c r="G253" s="1" t="s">
        <v>268</v>
      </c>
      <c r="H253" s="1">
        <v>2966333.5</v>
      </c>
      <c r="I253" s="1">
        <v>2952679.24</v>
      </c>
      <c r="J253" s="1">
        <v>51257.961000000003</v>
      </c>
      <c r="K253" s="1">
        <f>_SELECT_u_city_AS_Город_TO_CHAR_f_rental_start_YYYY_MM_AS_Месяц__202609232054[[#This Row],[Чистая Выручка]] * (1 + $B$4)</f>
        <v>2952679.24</v>
      </c>
      <c r="L253" s="1">
        <f>_SELECT_u_city_AS_Город_TO_CHAR_f_rental_start_YYYY_MM_AS_Месяц__202609232054[[#This Row],[Расходы на Ремонт]] * (1 + $B$5)</f>
        <v>51257.961000000003</v>
      </c>
      <c r="M25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2901421.2790000001</v>
      </c>
    </row>
    <row r="254" spans="3:13" x14ac:dyDescent="0.25">
      <c r="C254" s="1" t="s">
        <v>27</v>
      </c>
      <c r="D254" s="2">
        <v>45658</v>
      </c>
      <c r="E254" s="1" t="s">
        <v>9</v>
      </c>
      <c r="F254">
        <v>4070</v>
      </c>
      <c r="G254" s="1" t="s">
        <v>269</v>
      </c>
      <c r="H254" s="1">
        <v>2839816.5</v>
      </c>
      <c r="I254" s="1">
        <v>2824809.57</v>
      </c>
      <c r="J254" s="1">
        <v>0</v>
      </c>
      <c r="K254" s="1">
        <f>_SELECT_u_city_AS_Город_TO_CHAR_f_rental_start_YYYY_MM_AS_Месяц__202609232054[[#This Row],[Чистая Выручка]] * (1 + $B$4)</f>
        <v>2824809.57</v>
      </c>
      <c r="L254" s="1">
        <f>_SELECT_u_city_AS_Город_TO_CHAR_f_rental_start_YYYY_MM_AS_Месяц__202609232054[[#This Row],[Расходы на Ремонт]] * (1 + $B$5)</f>
        <v>0</v>
      </c>
      <c r="M25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2824809.57</v>
      </c>
    </row>
    <row r="255" spans="3:13" x14ac:dyDescent="0.25">
      <c r="C255" s="1" t="s">
        <v>27</v>
      </c>
      <c r="D255" s="2">
        <v>45658</v>
      </c>
      <c r="E255" s="1" t="s">
        <v>11</v>
      </c>
      <c r="F255">
        <v>4090</v>
      </c>
      <c r="G255" s="1" t="s">
        <v>270</v>
      </c>
      <c r="H255" s="1">
        <v>2815778.5</v>
      </c>
      <c r="I255" s="1">
        <v>2802338.69</v>
      </c>
      <c r="J255" s="1">
        <v>138811.1</v>
      </c>
      <c r="K255" s="1">
        <f>_SELECT_u_city_AS_Город_TO_CHAR_f_rental_start_YYYY_MM_AS_Месяц__202609232054[[#This Row],[Чистая Выручка]] * (1 + $B$4)</f>
        <v>2802338.69</v>
      </c>
      <c r="L255" s="1">
        <f>_SELECT_u_city_AS_Город_TO_CHAR_f_rental_start_YYYY_MM_AS_Месяц__202609232054[[#This Row],[Расходы на Ремонт]] * (1 + $B$5)</f>
        <v>138811.1</v>
      </c>
      <c r="M25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2663527.59</v>
      </c>
    </row>
    <row r="256" spans="3:13" x14ac:dyDescent="0.25">
      <c r="C256" s="1" t="s">
        <v>27</v>
      </c>
      <c r="D256" s="2">
        <v>45658</v>
      </c>
      <c r="E256" s="1" t="s">
        <v>13</v>
      </c>
      <c r="F256">
        <v>4177</v>
      </c>
      <c r="G256" s="1" t="s">
        <v>271</v>
      </c>
      <c r="H256" s="1">
        <v>2940351.5</v>
      </c>
      <c r="I256" s="1">
        <v>2926099.02</v>
      </c>
      <c r="J256" s="1">
        <v>68826.467999999993</v>
      </c>
      <c r="K256" s="1">
        <f>_SELECT_u_city_AS_Город_TO_CHAR_f_rental_start_YYYY_MM_AS_Месяц__202609232054[[#This Row],[Чистая Выручка]] * (1 + $B$4)</f>
        <v>2926099.02</v>
      </c>
      <c r="L256" s="1">
        <f>_SELECT_u_city_AS_Город_TO_CHAR_f_rental_start_YYYY_MM_AS_Месяц__202609232054[[#This Row],[Расходы на Ремонт]] * (1 + $B$5)</f>
        <v>68826.467999999993</v>
      </c>
      <c r="M25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2857272.5520000001</v>
      </c>
    </row>
    <row r="257" spans="3:13" x14ac:dyDescent="0.25">
      <c r="C257" s="1" t="s">
        <v>27</v>
      </c>
      <c r="D257" s="2">
        <v>45658</v>
      </c>
      <c r="E257" s="1" t="s">
        <v>15</v>
      </c>
      <c r="F257">
        <v>4180</v>
      </c>
      <c r="G257" s="1" t="s">
        <v>272</v>
      </c>
      <c r="H257" s="1">
        <v>2951971</v>
      </c>
      <c r="I257" s="1">
        <v>2937497.24</v>
      </c>
      <c r="J257" s="1">
        <v>51127.964999999997</v>
      </c>
      <c r="K257" s="1">
        <f>_SELECT_u_city_AS_Город_TO_CHAR_f_rental_start_YYYY_MM_AS_Месяц__202609232054[[#This Row],[Чистая Выручка]] * (1 + $B$4)</f>
        <v>2937497.24</v>
      </c>
      <c r="L257" s="1">
        <f>_SELECT_u_city_AS_Город_TO_CHAR_f_rental_start_YYYY_MM_AS_Месяц__202609232054[[#This Row],[Расходы на Ремонт]] * (1 + $B$5)</f>
        <v>51127.964999999997</v>
      </c>
      <c r="M25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2886369.2750000004</v>
      </c>
    </row>
    <row r="258" spans="3:13" x14ac:dyDescent="0.25">
      <c r="C258" s="1" t="s">
        <v>32</v>
      </c>
      <c r="D258" s="2">
        <v>45658</v>
      </c>
      <c r="E258" s="1" t="s">
        <v>9</v>
      </c>
      <c r="F258">
        <v>4136</v>
      </c>
      <c r="G258" s="1" t="s">
        <v>273</v>
      </c>
      <c r="H258" s="1">
        <v>2862301</v>
      </c>
      <c r="I258" s="1">
        <v>2847212.44</v>
      </c>
      <c r="J258" s="1">
        <v>0</v>
      </c>
      <c r="K258" s="1">
        <f>_SELECT_u_city_AS_Город_TO_CHAR_f_rental_start_YYYY_MM_AS_Месяц__202609232054[[#This Row],[Чистая Выручка]] * (1 + $B$4)</f>
        <v>2847212.44</v>
      </c>
      <c r="L258" s="1">
        <f>_SELECT_u_city_AS_Город_TO_CHAR_f_rental_start_YYYY_MM_AS_Месяц__202609232054[[#This Row],[Расходы на Ремонт]] * (1 + $B$5)</f>
        <v>0</v>
      </c>
      <c r="M25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2847212.44</v>
      </c>
    </row>
    <row r="259" spans="3:13" x14ac:dyDescent="0.25">
      <c r="C259" s="1" t="s">
        <v>32</v>
      </c>
      <c r="D259" s="2">
        <v>45658</v>
      </c>
      <c r="E259" s="1" t="s">
        <v>11</v>
      </c>
      <c r="F259">
        <v>4125</v>
      </c>
      <c r="G259" s="1" t="s">
        <v>274</v>
      </c>
      <c r="H259" s="1">
        <v>2852957.5</v>
      </c>
      <c r="I259" s="1">
        <v>2838277.79</v>
      </c>
      <c r="J259" s="1">
        <v>139767.375</v>
      </c>
      <c r="K259" s="1">
        <f>_SELECT_u_city_AS_Город_TO_CHAR_f_rental_start_YYYY_MM_AS_Месяц__202609232054[[#This Row],[Чистая Выручка]] * (1 + $B$4)</f>
        <v>2838277.79</v>
      </c>
      <c r="L259" s="1">
        <f>_SELECT_u_city_AS_Город_TO_CHAR_f_rental_start_YYYY_MM_AS_Месяц__202609232054[[#This Row],[Расходы на Ремонт]] * (1 + $B$5)</f>
        <v>139767.375</v>
      </c>
      <c r="M25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2698510.415</v>
      </c>
    </row>
    <row r="260" spans="3:13" x14ac:dyDescent="0.25">
      <c r="C260" s="1" t="s">
        <v>32</v>
      </c>
      <c r="D260" s="2">
        <v>45658</v>
      </c>
      <c r="E260" s="1" t="s">
        <v>13</v>
      </c>
      <c r="F260">
        <v>4149</v>
      </c>
      <c r="G260" s="1" t="s">
        <v>275</v>
      </c>
      <c r="H260" s="1">
        <v>2883816</v>
      </c>
      <c r="I260" s="1">
        <v>2869042.25</v>
      </c>
      <c r="J260" s="1">
        <v>67967.063999999998</v>
      </c>
      <c r="K260" s="1">
        <f>_SELECT_u_city_AS_Город_TO_CHAR_f_rental_start_YYYY_MM_AS_Месяц__202609232054[[#This Row],[Чистая Выручка]] * (1 + $B$4)</f>
        <v>2869042.25</v>
      </c>
      <c r="L260" s="1">
        <f>_SELECT_u_city_AS_Город_TO_CHAR_f_rental_start_YYYY_MM_AS_Месяц__202609232054[[#This Row],[Расходы на Ремонт]] * (1 + $B$5)</f>
        <v>67967.063999999998</v>
      </c>
      <c r="M26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2801075.1860000002</v>
      </c>
    </row>
    <row r="261" spans="3:13" x14ac:dyDescent="0.25">
      <c r="C261" s="1" t="s">
        <v>32</v>
      </c>
      <c r="D261" s="2">
        <v>45658</v>
      </c>
      <c r="E261" s="1" t="s">
        <v>15</v>
      </c>
      <c r="F261">
        <v>4077</v>
      </c>
      <c r="G261" s="1" t="s">
        <v>276</v>
      </c>
      <c r="H261" s="1">
        <v>2820216</v>
      </c>
      <c r="I261" s="1">
        <v>2806889.69</v>
      </c>
      <c r="J261" s="1">
        <v>50016.249000000003</v>
      </c>
      <c r="K261" s="1">
        <f>_SELECT_u_city_AS_Город_TO_CHAR_f_rental_start_YYYY_MM_AS_Месяц__202609232054[[#This Row],[Чистая Выручка]] * (1 + $B$4)</f>
        <v>2806889.69</v>
      </c>
      <c r="L261" s="1">
        <f>_SELECT_u_city_AS_Город_TO_CHAR_f_rental_start_YYYY_MM_AS_Месяц__202609232054[[#This Row],[Расходы на Ремонт]] * (1 + $B$5)</f>
        <v>50016.249000000003</v>
      </c>
      <c r="M26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2756873.4410000001</v>
      </c>
    </row>
    <row r="262" spans="3:13" x14ac:dyDescent="0.25">
      <c r="C262" s="1" t="s">
        <v>8</v>
      </c>
      <c r="D262" s="2">
        <v>45689</v>
      </c>
      <c r="E262" s="1" t="s">
        <v>9</v>
      </c>
      <c r="F262">
        <v>3990</v>
      </c>
      <c r="G262" s="1" t="s">
        <v>277</v>
      </c>
      <c r="H262" s="1">
        <v>2785306.5</v>
      </c>
      <c r="I262" s="1">
        <v>2772368.25</v>
      </c>
      <c r="J262" s="1">
        <v>0</v>
      </c>
      <c r="K262" s="1">
        <f>_SELECT_u_city_AS_Город_TO_CHAR_f_rental_start_YYYY_MM_AS_Месяц__202609232054[[#This Row],[Чистая Выручка]] * (1 + $B$4)</f>
        <v>2772368.25</v>
      </c>
      <c r="L262" s="1">
        <f>_SELECT_u_city_AS_Город_TO_CHAR_f_rental_start_YYYY_MM_AS_Месяц__202609232054[[#This Row],[Расходы на Ремонт]] * (1 + $B$5)</f>
        <v>0</v>
      </c>
      <c r="M26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2772368.25</v>
      </c>
    </row>
    <row r="263" spans="3:13" x14ac:dyDescent="0.25">
      <c r="C263" s="1" t="s">
        <v>8</v>
      </c>
      <c r="D263" s="2">
        <v>45689</v>
      </c>
      <c r="E263" s="1" t="s">
        <v>11</v>
      </c>
      <c r="F263">
        <v>3716</v>
      </c>
      <c r="G263" s="1" t="s">
        <v>278</v>
      </c>
      <c r="H263" s="1">
        <v>2599806.5</v>
      </c>
      <c r="I263" s="1">
        <v>2586169.5</v>
      </c>
      <c r="J263" s="1">
        <v>125173</v>
      </c>
      <c r="K263" s="1">
        <f>_SELECT_u_city_AS_Город_TO_CHAR_f_rental_start_YYYY_MM_AS_Месяц__202609232054[[#This Row],[Чистая Выручка]] * (1 + $B$4)</f>
        <v>2586169.5</v>
      </c>
      <c r="L263" s="1">
        <f>_SELECT_u_city_AS_Город_TO_CHAR_f_rental_start_YYYY_MM_AS_Месяц__202609232054[[#This Row],[Расходы на Ремонт]] * (1 + $B$5)</f>
        <v>125173</v>
      </c>
      <c r="M26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2460996.5</v>
      </c>
    </row>
    <row r="264" spans="3:13" x14ac:dyDescent="0.25">
      <c r="C264" s="1" t="s">
        <v>8</v>
      </c>
      <c r="D264" s="2">
        <v>45689</v>
      </c>
      <c r="E264" s="1" t="s">
        <v>13</v>
      </c>
      <c r="F264">
        <v>3918</v>
      </c>
      <c r="G264" s="1" t="s">
        <v>279</v>
      </c>
      <c r="H264" s="1">
        <v>2731014.5</v>
      </c>
      <c r="I264" s="1">
        <v>2718013.21</v>
      </c>
      <c r="J264" s="1">
        <v>64305.468000000001</v>
      </c>
      <c r="K264" s="1">
        <f>_SELECT_u_city_AS_Город_TO_CHAR_f_rental_start_YYYY_MM_AS_Месяц__202609232054[[#This Row],[Чистая Выручка]] * (1 + $B$4)</f>
        <v>2718013.21</v>
      </c>
      <c r="L264" s="1">
        <f>_SELECT_u_city_AS_Город_TO_CHAR_f_rental_start_YYYY_MM_AS_Месяц__202609232054[[#This Row],[Расходы на Ремонт]] * (1 + $B$5)</f>
        <v>64305.468000000001</v>
      </c>
      <c r="M26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2653707.7420000001</v>
      </c>
    </row>
    <row r="265" spans="3:13" x14ac:dyDescent="0.25">
      <c r="C265" s="1" t="s">
        <v>8</v>
      </c>
      <c r="D265" s="2">
        <v>45689</v>
      </c>
      <c r="E265" s="1" t="s">
        <v>15</v>
      </c>
      <c r="F265">
        <v>3740</v>
      </c>
      <c r="G265" s="1" t="s">
        <v>280</v>
      </c>
      <c r="H265" s="1">
        <v>2618716.5</v>
      </c>
      <c r="I265" s="1">
        <v>2605689.65</v>
      </c>
      <c r="J265" s="1">
        <v>46489.302000000003</v>
      </c>
      <c r="K265" s="1">
        <f>_SELECT_u_city_AS_Город_TO_CHAR_f_rental_start_YYYY_MM_AS_Месяц__202609232054[[#This Row],[Чистая Выручка]] * (1 + $B$4)</f>
        <v>2605689.65</v>
      </c>
      <c r="L265" s="1">
        <f>_SELECT_u_city_AS_Город_TO_CHAR_f_rental_start_YYYY_MM_AS_Месяц__202609232054[[#This Row],[Расходы на Ремонт]] * (1 + $B$5)</f>
        <v>46489.302000000003</v>
      </c>
      <c r="M26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2559200.3479999998</v>
      </c>
    </row>
    <row r="266" spans="3:13" x14ac:dyDescent="0.25">
      <c r="C266" s="1" t="s">
        <v>17</v>
      </c>
      <c r="D266" s="2">
        <v>45689</v>
      </c>
      <c r="E266" s="1" t="s">
        <v>9</v>
      </c>
      <c r="F266">
        <v>3813</v>
      </c>
      <c r="G266" s="1" t="s">
        <v>281</v>
      </c>
      <c r="H266" s="1">
        <v>2677653</v>
      </c>
      <c r="I266" s="1">
        <v>2665013.92</v>
      </c>
      <c r="J266" s="1">
        <v>0</v>
      </c>
      <c r="K266" s="1">
        <f>_SELECT_u_city_AS_Город_TO_CHAR_f_rental_start_YYYY_MM_AS_Месяц__202609232054[[#This Row],[Чистая Выручка]] * (1 + $B$4)</f>
        <v>2665013.92</v>
      </c>
      <c r="L266" s="1">
        <f>_SELECT_u_city_AS_Город_TO_CHAR_f_rental_start_YYYY_MM_AS_Месяц__202609232054[[#This Row],[Расходы на Ремонт]] * (1 + $B$5)</f>
        <v>0</v>
      </c>
      <c r="M26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2665013.92</v>
      </c>
    </row>
    <row r="267" spans="3:13" x14ac:dyDescent="0.25">
      <c r="C267" s="1" t="s">
        <v>17</v>
      </c>
      <c r="D267" s="2">
        <v>45689</v>
      </c>
      <c r="E267" s="1" t="s">
        <v>11</v>
      </c>
      <c r="F267">
        <v>3921</v>
      </c>
      <c r="G267" s="1" t="s">
        <v>282</v>
      </c>
      <c r="H267" s="1">
        <v>2743945</v>
      </c>
      <c r="I267" s="1">
        <v>2731093.74</v>
      </c>
      <c r="J267" s="1">
        <v>134701.47500000001</v>
      </c>
      <c r="K267" s="1">
        <f>_SELECT_u_city_AS_Город_TO_CHAR_f_rental_start_YYYY_MM_AS_Месяц__202609232054[[#This Row],[Чистая Выручка]] * (1 + $B$4)</f>
        <v>2731093.74</v>
      </c>
      <c r="L267" s="1">
        <f>_SELECT_u_city_AS_Город_TO_CHAR_f_rental_start_YYYY_MM_AS_Месяц__202609232054[[#This Row],[Расходы на Ремонт]] * (1 + $B$5)</f>
        <v>134701.47500000001</v>
      </c>
      <c r="M26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2596392.2650000001</v>
      </c>
    </row>
    <row r="268" spans="3:13" x14ac:dyDescent="0.25">
      <c r="C268" s="1" t="s">
        <v>17</v>
      </c>
      <c r="D268" s="2">
        <v>45689</v>
      </c>
      <c r="E268" s="1" t="s">
        <v>13</v>
      </c>
      <c r="F268">
        <v>3953</v>
      </c>
      <c r="G268" s="1" t="s">
        <v>283</v>
      </c>
      <c r="H268" s="1">
        <v>2745908</v>
      </c>
      <c r="I268" s="1">
        <v>2732835.2</v>
      </c>
      <c r="J268" s="1">
        <v>64041.588000000003</v>
      </c>
      <c r="K268" s="1">
        <f>_SELECT_u_city_AS_Город_TO_CHAR_f_rental_start_YYYY_MM_AS_Месяц__202609232054[[#This Row],[Чистая Выручка]] * (1 + $B$4)</f>
        <v>2732835.2</v>
      </c>
      <c r="L268" s="1">
        <f>_SELECT_u_city_AS_Город_TO_CHAR_f_rental_start_YYYY_MM_AS_Месяц__202609232054[[#This Row],[Расходы на Ремонт]] * (1 + $B$5)</f>
        <v>64041.588000000003</v>
      </c>
      <c r="M26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2668793.6120000002</v>
      </c>
    </row>
    <row r="269" spans="3:13" x14ac:dyDescent="0.25">
      <c r="C269" s="1" t="s">
        <v>17</v>
      </c>
      <c r="D269" s="2">
        <v>45689</v>
      </c>
      <c r="E269" s="1" t="s">
        <v>15</v>
      </c>
      <c r="F269">
        <v>3791</v>
      </c>
      <c r="G269" s="1" t="s">
        <v>284</v>
      </c>
      <c r="H269" s="1">
        <v>2639626</v>
      </c>
      <c r="I269" s="1">
        <v>2626025.06</v>
      </c>
      <c r="J269" s="1">
        <v>46004.894999999997</v>
      </c>
      <c r="K269" s="1">
        <f>_SELECT_u_city_AS_Город_TO_CHAR_f_rental_start_YYYY_MM_AS_Месяц__202609232054[[#This Row],[Чистая Выручка]] * (1 + $B$4)</f>
        <v>2626025.06</v>
      </c>
      <c r="L269" s="1">
        <f>_SELECT_u_city_AS_Город_TO_CHAR_f_rental_start_YYYY_MM_AS_Месяц__202609232054[[#This Row],[Расходы на Ремонт]] * (1 + $B$5)</f>
        <v>46004.894999999997</v>
      </c>
      <c r="M26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2580020.165</v>
      </c>
    </row>
    <row r="270" spans="3:13" x14ac:dyDescent="0.25">
      <c r="C270" s="1" t="s">
        <v>22</v>
      </c>
      <c r="D270" s="2">
        <v>45689</v>
      </c>
      <c r="E270" s="1" t="s">
        <v>9</v>
      </c>
      <c r="F270">
        <v>3954</v>
      </c>
      <c r="G270" s="1" t="s">
        <v>285</v>
      </c>
      <c r="H270" s="1">
        <v>2771879.5</v>
      </c>
      <c r="I270" s="1">
        <v>2758411.99</v>
      </c>
      <c r="J270" s="1">
        <v>0</v>
      </c>
      <c r="K270" s="1">
        <f>_SELECT_u_city_AS_Город_TO_CHAR_f_rental_start_YYYY_MM_AS_Месяц__202609232054[[#This Row],[Чистая Выручка]] * (1 + $B$4)</f>
        <v>2758411.99</v>
      </c>
      <c r="L270" s="1">
        <f>_SELECT_u_city_AS_Город_TO_CHAR_f_rental_start_YYYY_MM_AS_Месяц__202609232054[[#This Row],[Расходы на Ремонт]] * (1 + $B$5)</f>
        <v>0</v>
      </c>
      <c r="M27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2758411.99</v>
      </c>
    </row>
    <row r="271" spans="3:13" x14ac:dyDescent="0.25">
      <c r="C271" s="1" t="s">
        <v>22</v>
      </c>
      <c r="D271" s="2">
        <v>45689</v>
      </c>
      <c r="E271" s="1" t="s">
        <v>11</v>
      </c>
      <c r="F271">
        <v>3981</v>
      </c>
      <c r="G271" s="1" t="s">
        <v>286</v>
      </c>
      <c r="H271" s="1">
        <v>2811680.5</v>
      </c>
      <c r="I271" s="1">
        <v>2798003.54</v>
      </c>
      <c r="J271" s="1">
        <v>136491.52499999999</v>
      </c>
      <c r="K271" s="1">
        <f>_SELECT_u_city_AS_Город_TO_CHAR_f_rental_start_YYYY_MM_AS_Месяц__202609232054[[#This Row],[Чистая Выручка]] * (1 + $B$4)</f>
        <v>2798003.54</v>
      </c>
      <c r="L271" s="1">
        <f>_SELECT_u_city_AS_Город_TO_CHAR_f_rental_start_YYYY_MM_AS_Месяц__202609232054[[#This Row],[Расходы на Ремонт]] * (1 + $B$5)</f>
        <v>136491.52499999999</v>
      </c>
      <c r="M27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2661512.0150000001</v>
      </c>
    </row>
    <row r="272" spans="3:13" x14ac:dyDescent="0.25">
      <c r="C272" s="1" t="s">
        <v>22</v>
      </c>
      <c r="D272" s="2">
        <v>45689</v>
      </c>
      <c r="E272" s="1" t="s">
        <v>13</v>
      </c>
      <c r="F272">
        <v>3960</v>
      </c>
      <c r="G272" s="1" t="s">
        <v>287</v>
      </c>
      <c r="H272" s="1">
        <v>2808173</v>
      </c>
      <c r="I272" s="1">
        <v>2795226.29</v>
      </c>
      <c r="J272" s="1">
        <v>64875.228000000003</v>
      </c>
      <c r="K272" s="1">
        <f>_SELECT_u_city_AS_Город_TO_CHAR_f_rental_start_YYYY_MM_AS_Месяц__202609232054[[#This Row],[Чистая Выручка]] * (1 + $B$4)</f>
        <v>2795226.29</v>
      </c>
      <c r="L272" s="1">
        <f>_SELECT_u_city_AS_Город_TO_CHAR_f_rental_start_YYYY_MM_AS_Месяц__202609232054[[#This Row],[Расходы на Ремонт]] * (1 + $B$5)</f>
        <v>64875.228000000003</v>
      </c>
      <c r="M27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2730351.0619999999</v>
      </c>
    </row>
    <row r="273" spans="3:13" x14ac:dyDescent="0.25">
      <c r="C273" s="1" t="s">
        <v>22</v>
      </c>
      <c r="D273" s="2">
        <v>45689</v>
      </c>
      <c r="E273" s="1" t="s">
        <v>15</v>
      </c>
      <c r="F273">
        <v>3873</v>
      </c>
      <c r="G273" s="1" t="s">
        <v>288</v>
      </c>
      <c r="H273" s="1">
        <v>2680644.5</v>
      </c>
      <c r="I273" s="1">
        <v>2668244.7999999998</v>
      </c>
      <c r="J273" s="1">
        <v>47398.266000000003</v>
      </c>
      <c r="K273" s="1">
        <f>_SELECT_u_city_AS_Город_TO_CHAR_f_rental_start_YYYY_MM_AS_Месяц__202609232054[[#This Row],[Чистая Выручка]] * (1 + $B$4)</f>
        <v>2668244.7999999998</v>
      </c>
      <c r="L273" s="1">
        <f>_SELECT_u_city_AS_Город_TO_CHAR_f_rental_start_YYYY_MM_AS_Месяц__202609232054[[#This Row],[Расходы на Ремонт]] * (1 + $B$5)</f>
        <v>47398.266000000003</v>
      </c>
      <c r="M27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2620846.534</v>
      </c>
    </row>
    <row r="274" spans="3:13" x14ac:dyDescent="0.25">
      <c r="C274" s="1" t="s">
        <v>27</v>
      </c>
      <c r="D274" s="2">
        <v>45689</v>
      </c>
      <c r="E274" s="1" t="s">
        <v>9</v>
      </c>
      <c r="F274">
        <v>3966</v>
      </c>
      <c r="G274" s="1" t="s">
        <v>289</v>
      </c>
      <c r="H274" s="1">
        <v>2746904.5</v>
      </c>
      <c r="I274" s="1">
        <v>2733528.88</v>
      </c>
      <c r="J274" s="1">
        <v>0</v>
      </c>
      <c r="K274" s="1">
        <f>_SELECT_u_city_AS_Город_TO_CHAR_f_rental_start_YYYY_MM_AS_Месяц__202609232054[[#This Row],[Чистая Выручка]] * (1 + $B$4)</f>
        <v>2733528.88</v>
      </c>
      <c r="L274" s="1">
        <f>_SELECT_u_city_AS_Город_TO_CHAR_f_rental_start_YYYY_MM_AS_Месяц__202609232054[[#This Row],[Расходы на Ремонт]] * (1 + $B$5)</f>
        <v>0</v>
      </c>
      <c r="M27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2733528.88</v>
      </c>
    </row>
    <row r="275" spans="3:13" x14ac:dyDescent="0.25">
      <c r="C275" s="1" t="s">
        <v>27</v>
      </c>
      <c r="D275" s="2">
        <v>45689</v>
      </c>
      <c r="E275" s="1" t="s">
        <v>11</v>
      </c>
      <c r="F275">
        <v>3857</v>
      </c>
      <c r="G275" s="1" t="s">
        <v>290</v>
      </c>
      <c r="H275" s="1">
        <v>2669704</v>
      </c>
      <c r="I275" s="1">
        <v>2656755.61</v>
      </c>
      <c r="J275" s="1">
        <v>130322.35</v>
      </c>
      <c r="K275" s="1">
        <f>_SELECT_u_city_AS_Город_TO_CHAR_f_rental_start_YYYY_MM_AS_Месяц__202609232054[[#This Row],[Чистая Выручка]] * (1 + $B$4)</f>
        <v>2656755.61</v>
      </c>
      <c r="L275" s="1">
        <f>_SELECT_u_city_AS_Город_TO_CHAR_f_rental_start_YYYY_MM_AS_Месяц__202609232054[[#This Row],[Расходы на Ремонт]] * (1 + $B$5)</f>
        <v>130322.35</v>
      </c>
      <c r="M27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2526433.2599999998</v>
      </c>
    </row>
    <row r="276" spans="3:13" x14ac:dyDescent="0.25">
      <c r="C276" s="1" t="s">
        <v>27</v>
      </c>
      <c r="D276" s="2">
        <v>45689</v>
      </c>
      <c r="E276" s="1" t="s">
        <v>13</v>
      </c>
      <c r="F276">
        <v>3865</v>
      </c>
      <c r="G276" s="1" t="s">
        <v>291</v>
      </c>
      <c r="H276" s="1">
        <v>2715285.5</v>
      </c>
      <c r="I276" s="1">
        <v>2701576.48</v>
      </c>
      <c r="J276" s="1">
        <v>63511.392</v>
      </c>
      <c r="K276" s="1">
        <f>_SELECT_u_city_AS_Город_TO_CHAR_f_rental_start_YYYY_MM_AS_Месяц__202609232054[[#This Row],[Чистая Выручка]] * (1 + $B$4)</f>
        <v>2701576.48</v>
      </c>
      <c r="L276" s="1">
        <f>_SELECT_u_city_AS_Город_TO_CHAR_f_rental_start_YYYY_MM_AS_Месяц__202609232054[[#This Row],[Расходы на Ремонт]] * (1 + $B$5)</f>
        <v>63511.392</v>
      </c>
      <c r="M27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2638065.088</v>
      </c>
    </row>
    <row r="277" spans="3:13" x14ac:dyDescent="0.25">
      <c r="C277" s="1" t="s">
        <v>27</v>
      </c>
      <c r="D277" s="2">
        <v>45689</v>
      </c>
      <c r="E277" s="1" t="s">
        <v>15</v>
      </c>
      <c r="F277">
        <v>3730</v>
      </c>
      <c r="G277" s="1" t="s">
        <v>292</v>
      </c>
      <c r="H277" s="1">
        <v>2604059</v>
      </c>
      <c r="I277" s="1">
        <v>2591311.5699999998</v>
      </c>
      <c r="J277" s="1">
        <v>45572.49</v>
      </c>
      <c r="K277" s="1">
        <f>_SELECT_u_city_AS_Город_TO_CHAR_f_rental_start_YYYY_MM_AS_Месяц__202609232054[[#This Row],[Чистая Выручка]] * (1 + $B$4)</f>
        <v>2591311.5699999998</v>
      </c>
      <c r="L277" s="1">
        <f>_SELECT_u_city_AS_Город_TO_CHAR_f_rental_start_YYYY_MM_AS_Месяц__202609232054[[#This Row],[Расходы на Ремонт]] * (1 + $B$5)</f>
        <v>45572.49</v>
      </c>
      <c r="M27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2545739.0799999996</v>
      </c>
    </row>
    <row r="278" spans="3:13" x14ac:dyDescent="0.25">
      <c r="C278" s="1" t="s">
        <v>32</v>
      </c>
      <c r="D278" s="2">
        <v>45689</v>
      </c>
      <c r="E278" s="1" t="s">
        <v>9</v>
      </c>
      <c r="F278">
        <v>3821</v>
      </c>
      <c r="G278" s="1" t="s">
        <v>293</v>
      </c>
      <c r="H278" s="1">
        <v>2639726</v>
      </c>
      <c r="I278" s="1">
        <v>2627648.0099999998</v>
      </c>
      <c r="J278" s="1">
        <v>0</v>
      </c>
      <c r="K278" s="1">
        <f>_SELECT_u_city_AS_Город_TO_CHAR_f_rental_start_YYYY_MM_AS_Месяц__202609232054[[#This Row],[Чистая Выручка]] * (1 + $B$4)</f>
        <v>2627648.0099999998</v>
      </c>
      <c r="L278" s="1">
        <f>_SELECT_u_city_AS_Город_TO_CHAR_f_rental_start_YYYY_MM_AS_Месяц__202609232054[[#This Row],[Расходы на Ремонт]] * (1 + $B$5)</f>
        <v>0</v>
      </c>
      <c r="M27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2627648.0099999998</v>
      </c>
    </row>
    <row r="279" spans="3:13" x14ac:dyDescent="0.25">
      <c r="C279" s="1" t="s">
        <v>32</v>
      </c>
      <c r="D279" s="2">
        <v>45689</v>
      </c>
      <c r="E279" s="1" t="s">
        <v>11</v>
      </c>
      <c r="F279">
        <v>3686</v>
      </c>
      <c r="G279" s="1" t="s">
        <v>294</v>
      </c>
      <c r="H279" s="1">
        <v>2579647.5</v>
      </c>
      <c r="I279" s="1">
        <v>2566299.29</v>
      </c>
      <c r="J279" s="1">
        <v>126719.47500000001</v>
      </c>
      <c r="K279" s="1">
        <f>_SELECT_u_city_AS_Город_TO_CHAR_f_rental_start_YYYY_MM_AS_Месяц__202609232054[[#This Row],[Чистая Выручка]] * (1 + $B$4)</f>
        <v>2566299.29</v>
      </c>
      <c r="L279" s="1">
        <f>_SELECT_u_city_AS_Город_TO_CHAR_f_rental_start_YYYY_MM_AS_Месяц__202609232054[[#This Row],[Расходы на Ремонт]] * (1 + $B$5)</f>
        <v>126719.47500000001</v>
      </c>
      <c r="M27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2439579.8149999999</v>
      </c>
    </row>
    <row r="280" spans="3:13" x14ac:dyDescent="0.25">
      <c r="C280" s="1" t="s">
        <v>32</v>
      </c>
      <c r="D280" s="2">
        <v>45689</v>
      </c>
      <c r="E280" s="1" t="s">
        <v>13</v>
      </c>
      <c r="F280">
        <v>3821</v>
      </c>
      <c r="G280" s="1" t="s">
        <v>295</v>
      </c>
      <c r="H280" s="1">
        <v>2654460.5</v>
      </c>
      <c r="I280" s="1">
        <v>2641145.0499999998</v>
      </c>
      <c r="J280" s="1">
        <v>62457.383999999998</v>
      </c>
      <c r="K280" s="1">
        <f>_SELECT_u_city_AS_Город_TO_CHAR_f_rental_start_YYYY_MM_AS_Месяц__202609232054[[#This Row],[Чистая Выручка]] * (1 + $B$4)</f>
        <v>2641145.0499999998</v>
      </c>
      <c r="L280" s="1">
        <f>_SELECT_u_city_AS_Город_TO_CHAR_f_rental_start_YYYY_MM_AS_Месяц__202609232054[[#This Row],[Расходы на Ремонт]] * (1 + $B$5)</f>
        <v>62457.383999999998</v>
      </c>
      <c r="M28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2578687.6659999997</v>
      </c>
    </row>
    <row r="281" spans="3:13" x14ac:dyDescent="0.25">
      <c r="C281" s="1" t="s">
        <v>32</v>
      </c>
      <c r="D281" s="2">
        <v>45689</v>
      </c>
      <c r="E281" s="1" t="s">
        <v>15</v>
      </c>
      <c r="F281">
        <v>3831</v>
      </c>
      <c r="G281" s="1" t="s">
        <v>296</v>
      </c>
      <c r="H281" s="1">
        <v>2670652.5</v>
      </c>
      <c r="I281" s="1">
        <v>2657521.9</v>
      </c>
      <c r="J281" s="1">
        <v>46623.078000000001</v>
      </c>
      <c r="K281" s="1">
        <f>_SELECT_u_city_AS_Город_TO_CHAR_f_rental_start_YYYY_MM_AS_Месяц__202609232054[[#This Row],[Чистая Выручка]] * (1 + $B$4)</f>
        <v>2657521.9</v>
      </c>
      <c r="L281" s="1">
        <f>_SELECT_u_city_AS_Город_TO_CHAR_f_rental_start_YYYY_MM_AS_Месяц__202609232054[[#This Row],[Расходы на Ремонт]] * (1 + $B$5)</f>
        <v>46623.078000000001</v>
      </c>
      <c r="M28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2610898.8219999997</v>
      </c>
    </row>
    <row r="282" spans="3:13" x14ac:dyDescent="0.25">
      <c r="C282" s="1" t="s">
        <v>8</v>
      </c>
      <c r="D282" s="2">
        <v>45717</v>
      </c>
      <c r="E282" s="1" t="s">
        <v>9</v>
      </c>
      <c r="F282">
        <v>4562</v>
      </c>
      <c r="G282" s="1" t="s">
        <v>297</v>
      </c>
      <c r="H282" s="1">
        <v>3172548</v>
      </c>
      <c r="I282" s="1">
        <v>3156779.45</v>
      </c>
      <c r="J282" s="1">
        <v>0</v>
      </c>
      <c r="K282" s="1">
        <f>_SELECT_u_city_AS_Город_TO_CHAR_f_rental_start_YYYY_MM_AS_Месяц__202609232054[[#This Row],[Чистая Выручка]] * (1 + $B$4)</f>
        <v>3156779.45</v>
      </c>
      <c r="L282" s="1">
        <f>_SELECT_u_city_AS_Город_TO_CHAR_f_rental_start_YYYY_MM_AS_Месяц__202609232054[[#This Row],[Расходы на Ремонт]] * (1 + $B$5)</f>
        <v>0</v>
      </c>
      <c r="M28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3156779.45</v>
      </c>
    </row>
    <row r="283" spans="3:13" x14ac:dyDescent="0.25">
      <c r="C283" s="1" t="s">
        <v>8</v>
      </c>
      <c r="D283" s="2">
        <v>45717</v>
      </c>
      <c r="E283" s="1" t="s">
        <v>11</v>
      </c>
      <c r="F283">
        <v>4354</v>
      </c>
      <c r="G283" s="1" t="s">
        <v>298</v>
      </c>
      <c r="H283" s="1">
        <v>3011109.5</v>
      </c>
      <c r="I283" s="1">
        <v>2996353.16</v>
      </c>
      <c r="J283" s="1">
        <v>148130.97500000001</v>
      </c>
      <c r="K283" s="1">
        <f>_SELECT_u_city_AS_Город_TO_CHAR_f_rental_start_YYYY_MM_AS_Месяц__202609232054[[#This Row],[Чистая Выручка]] * (1 + $B$4)</f>
        <v>2996353.16</v>
      </c>
      <c r="L283" s="1">
        <f>_SELECT_u_city_AS_Город_TO_CHAR_f_rental_start_YYYY_MM_AS_Месяц__202609232054[[#This Row],[Расходы на Ремонт]] * (1 + $B$5)</f>
        <v>148130.97500000001</v>
      </c>
      <c r="M28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2848222.1850000001</v>
      </c>
    </row>
    <row r="284" spans="3:13" x14ac:dyDescent="0.25">
      <c r="C284" s="1" t="s">
        <v>8</v>
      </c>
      <c r="D284" s="2">
        <v>45717</v>
      </c>
      <c r="E284" s="1" t="s">
        <v>13</v>
      </c>
      <c r="F284">
        <v>4463</v>
      </c>
      <c r="G284" s="1" t="s">
        <v>299</v>
      </c>
      <c r="H284" s="1">
        <v>3115938</v>
      </c>
      <c r="I284" s="1">
        <v>3101651.47</v>
      </c>
      <c r="J284" s="1">
        <v>73005.156000000003</v>
      </c>
      <c r="K284" s="1">
        <f>_SELECT_u_city_AS_Город_TO_CHAR_f_rental_start_YYYY_MM_AS_Месяц__202609232054[[#This Row],[Чистая Выручка]] * (1 + $B$4)</f>
        <v>3101651.47</v>
      </c>
      <c r="L284" s="1">
        <f>_SELECT_u_city_AS_Город_TO_CHAR_f_rental_start_YYYY_MM_AS_Месяц__202609232054[[#This Row],[Расходы на Ремонт]] * (1 + $B$5)</f>
        <v>73005.156000000003</v>
      </c>
      <c r="M28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3028646.3140000002</v>
      </c>
    </row>
    <row r="285" spans="3:13" x14ac:dyDescent="0.25">
      <c r="C285" s="1" t="s">
        <v>8</v>
      </c>
      <c r="D285" s="2">
        <v>45717</v>
      </c>
      <c r="E285" s="1" t="s">
        <v>15</v>
      </c>
      <c r="F285">
        <v>4431</v>
      </c>
      <c r="G285" s="1" t="s">
        <v>300</v>
      </c>
      <c r="H285" s="1">
        <v>3106688</v>
      </c>
      <c r="I285" s="1">
        <v>3091957.95</v>
      </c>
      <c r="J285" s="1">
        <v>54579.464999999997</v>
      </c>
      <c r="K285" s="1">
        <f>_SELECT_u_city_AS_Город_TO_CHAR_f_rental_start_YYYY_MM_AS_Месяц__202609232054[[#This Row],[Чистая Выручка]] * (1 + $B$4)</f>
        <v>3091957.95</v>
      </c>
      <c r="L285" s="1">
        <f>_SELECT_u_city_AS_Город_TO_CHAR_f_rental_start_YYYY_MM_AS_Месяц__202609232054[[#This Row],[Расходы на Ремонт]] * (1 + $B$5)</f>
        <v>54579.464999999997</v>
      </c>
      <c r="M28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3037378.4850000003</v>
      </c>
    </row>
    <row r="286" spans="3:13" x14ac:dyDescent="0.25">
      <c r="C286" s="1" t="s">
        <v>17</v>
      </c>
      <c r="D286" s="2">
        <v>45717</v>
      </c>
      <c r="E286" s="1" t="s">
        <v>9</v>
      </c>
      <c r="F286">
        <v>4506</v>
      </c>
      <c r="G286" s="1" t="s">
        <v>301</v>
      </c>
      <c r="H286" s="1">
        <v>3148873</v>
      </c>
      <c r="I286" s="1">
        <v>3134166.21</v>
      </c>
      <c r="J286" s="1">
        <v>0</v>
      </c>
      <c r="K286" s="1">
        <f>_SELECT_u_city_AS_Город_TO_CHAR_f_rental_start_YYYY_MM_AS_Месяц__202609232054[[#This Row],[Чистая Выручка]] * (1 + $B$4)</f>
        <v>3134166.21</v>
      </c>
      <c r="L286" s="1">
        <f>_SELECT_u_city_AS_Город_TO_CHAR_f_rental_start_YYYY_MM_AS_Месяц__202609232054[[#This Row],[Расходы на Ремонт]] * (1 + $B$5)</f>
        <v>0</v>
      </c>
      <c r="M28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3134166.21</v>
      </c>
    </row>
    <row r="287" spans="3:13" x14ac:dyDescent="0.25">
      <c r="C287" s="1" t="s">
        <v>17</v>
      </c>
      <c r="D287" s="2">
        <v>45717</v>
      </c>
      <c r="E287" s="1" t="s">
        <v>11</v>
      </c>
      <c r="F287">
        <v>4487</v>
      </c>
      <c r="G287" s="1" t="s">
        <v>302</v>
      </c>
      <c r="H287" s="1">
        <v>3117825.5</v>
      </c>
      <c r="I287" s="1">
        <v>3102947.81</v>
      </c>
      <c r="J287" s="1">
        <v>150967</v>
      </c>
      <c r="K287" s="1">
        <f>_SELECT_u_city_AS_Город_TO_CHAR_f_rental_start_YYYY_MM_AS_Месяц__202609232054[[#This Row],[Чистая Выручка]] * (1 + $B$4)</f>
        <v>3102947.81</v>
      </c>
      <c r="L287" s="1">
        <f>_SELECT_u_city_AS_Город_TO_CHAR_f_rental_start_YYYY_MM_AS_Месяц__202609232054[[#This Row],[Расходы на Ремонт]] * (1 + $B$5)</f>
        <v>150967</v>
      </c>
      <c r="M28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2951980.81</v>
      </c>
    </row>
    <row r="288" spans="3:13" x14ac:dyDescent="0.25">
      <c r="C288" s="1" t="s">
        <v>17</v>
      </c>
      <c r="D288" s="2">
        <v>45717</v>
      </c>
      <c r="E288" s="1" t="s">
        <v>13</v>
      </c>
      <c r="F288">
        <v>4416</v>
      </c>
      <c r="G288" s="1" t="s">
        <v>303</v>
      </c>
      <c r="H288" s="1">
        <v>3050064</v>
      </c>
      <c r="I288" s="1">
        <v>3034706.82</v>
      </c>
      <c r="J288" s="1">
        <v>71852.388000000006</v>
      </c>
      <c r="K288" s="1">
        <f>_SELECT_u_city_AS_Город_TO_CHAR_f_rental_start_YYYY_MM_AS_Месяц__202609232054[[#This Row],[Чистая Выручка]] * (1 + $B$4)</f>
        <v>3034706.82</v>
      </c>
      <c r="L288" s="1">
        <f>_SELECT_u_city_AS_Город_TO_CHAR_f_rental_start_YYYY_MM_AS_Месяц__202609232054[[#This Row],[Расходы на Ремонт]] * (1 + $B$5)</f>
        <v>71852.388000000006</v>
      </c>
      <c r="M28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2962854.432</v>
      </c>
    </row>
    <row r="289" spans="3:13" x14ac:dyDescent="0.25">
      <c r="C289" s="1" t="s">
        <v>17</v>
      </c>
      <c r="D289" s="2">
        <v>45717</v>
      </c>
      <c r="E289" s="1" t="s">
        <v>15</v>
      </c>
      <c r="F289">
        <v>4457</v>
      </c>
      <c r="G289" s="1" t="s">
        <v>304</v>
      </c>
      <c r="H289" s="1">
        <v>3125050.5</v>
      </c>
      <c r="I289" s="1">
        <v>3110516.1</v>
      </c>
      <c r="J289" s="1">
        <v>54364.275000000001</v>
      </c>
      <c r="K289" s="1">
        <f>_SELECT_u_city_AS_Город_TO_CHAR_f_rental_start_YYYY_MM_AS_Месяц__202609232054[[#This Row],[Чистая Выручка]] * (1 + $B$4)</f>
        <v>3110516.1</v>
      </c>
      <c r="L289" s="1">
        <f>_SELECT_u_city_AS_Город_TO_CHAR_f_rental_start_YYYY_MM_AS_Месяц__202609232054[[#This Row],[Расходы на Ремонт]] * (1 + $B$5)</f>
        <v>54364.275000000001</v>
      </c>
      <c r="M28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3056151.8250000002</v>
      </c>
    </row>
    <row r="290" spans="3:13" x14ac:dyDescent="0.25">
      <c r="C290" s="1" t="s">
        <v>22</v>
      </c>
      <c r="D290" s="2">
        <v>45717</v>
      </c>
      <c r="E290" s="1" t="s">
        <v>9</v>
      </c>
      <c r="F290">
        <v>4370</v>
      </c>
      <c r="G290" s="1" t="s">
        <v>305</v>
      </c>
      <c r="H290" s="1">
        <v>3026604</v>
      </c>
      <c r="I290" s="1">
        <v>3011926.38</v>
      </c>
      <c r="J290" s="1">
        <v>0</v>
      </c>
      <c r="K290" s="1">
        <f>_SELECT_u_city_AS_Город_TO_CHAR_f_rental_start_YYYY_MM_AS_Месяц__202609232054[[#This Row],[Чистая Выручка]] * (1 + $B$4)</f>
        <v>3011926.38</v>
      </c>
      <c r="L290" s="1">
        <f>_SELECT_u_city_AS_Город_TO_CHAR_f_rental_start_YYYY_MM_AS_Месяц__202609232054[[#This Row],[Расходы на Ремонт]] * (1 + $B$5)</f>
        <v>0</v>
      </c>
      <c r="M29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3011926.38</v>
      </c>
    </row>
    <row r="291" spans="3:13" x14ac:dyDescent="0.25">
      <c r="C291" s="1" t="s">
        <v>22</v>
      </c>
      <c r="D291" s="2">
        <v>45717</v>
      </c>
      <c r="E291" s="1" t="s">
        <v>11</v>
      </c>
      <c r="F291">
        <v>4438</v>
      </c>
      <c r="G291" s="1" t="s">
        <v>306</v>
      </c>
      <c r="H291" s="1">
        <v>3094633</v>
      </c>
      <c r="I291" s="1">
        <v>3080320.22</v>
      </c>
      <c r="J291" s="1">
        <v>150873.52499999999</v>
      </c>
      <c r="K291" s="1">
        <f>_SELECT_u_city_AS_Город_TO_CHAR_f_rental_start_YYYY_MM_AS_Месяц__202609232054[[#This Row],[Чистая Выручка]] * (1 + $B$4)</f>
        <v>3080320.22</v>
      </c>
      <c r="L291" s="1">
        <f>_SELECT_u_city_AS_Город_TO_CHAR_f_rental_start_YYYY_MM_AS_Месяц__202609232054[[#This Row],[Расходы на Ремонт]] * (1 + $B$5)</f>
        <v>150873.52499999999</v>
      </c>
      <c r="M29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2929446.6950000003</v>
      </c>
    </row>
    <row r="292" spans="3:13" x14ac:dyDescent="0.25">
      <c r="C292" s="1" t="s">
        <v>22</v>
      </c>
      <c r="D292" s="2">
        <v>45717</v>
      </c>
      <c r="E292" s="1" t="s">
        <v>13</v>
      </c>
      <c r="F292">
        <v>4532</v>
      </c>
      <c r="G292" s="1" t="s">
        <v>307</v>
      </c>
      <c r="H292" s="1">
        <v>3142839</v>
      </c>
      <c r="I292" s="1">
        <v>3127331.25</v>
      </c>
      <c r="J292" s="1">
        <v>74125.331999999995</v>
      </c>
      <c r="K292" s="1">
        <f>_SELECT_u_city_AS_Город_TO_CHAR_f_rental_start_YYYY_MM_AS_Месяц__202609232054[[#This Row],[Чистая Выручка]] * (1 + $B$4)</f>
        <v>3127331.25</v>
      </c>
      <c r="L292" s="1">
        <f>_SELECT_u_city_AS_Город_TO_CHAR_f_rental_start_YYYY_MM_AS_Месяц__202609232054[[#This Row],[Расходы на Ремонт]] * (1 + $B$5)</f>
        <v>74125.331999999995</v>
      </c>
      <c r="M29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3053205.9180000001</v>
      </c>
    </row>
    <row r="293" spans="3:13" x14ac:dyDescent="0.25">
      <c r="C293" s="1" t="s">
        <v>22</v>
      </c>
      <c r="D293" s="2">
        <v>45717</v>
      </c>
      <c r="E293" s="1" t="s">
        <v>15</v>
      </c>
      <c r="F293">
        <v>4564</v>
      </c>
      <c r="G293" s="1" t="s">
        <v>308</v>
      </c>
      <c r="H293" s="1">
        <v>3167667.5</v>
      </c>
      <c r="I293" s="1">
        <v>3152778.48</v>
      </c>
      <c r="J293" s="1">
        <v>55589.345999999998</v>
      </c>
      <c r="K293" s="1">
        <f>_SELECT_u_city_AS_Город_TO_CHAR_f_rental_start_YYYY_MM_AS_Месяц__202609232054[[#This Row],[Чистая Выручка]] * (1 + $B$4)</f>
        <v>3152778.48</v>
      </c>
      <c r="L293" s="1">
        <f>_SELECT_u_city_AS_Город_TO_CHAR_f_rental_start_YYYY_MM_AS_Месяц__202609232054[[#This Row],[Расходы на Ремонт]] * (1 + $B$5)</f>
        <v>55589.345999999998</v>
      </c>
      <c r="M29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3097189.1340000001</v>
      </c>
    </row>
    <row r="294" spans="3:13" x14ac:dyDescent="0.25">
      <c r="C294" s="1" t="s">
        <v>27</v>
      </c>
      <c r="D294" s="2">
        <v>45717</v>
      </c>
      <c r="E294" s="1" t="s">
        <v>9</v>
      </c>
      <c r="F294">
        <v>4446</v>
      </c>
      <c r="G294" s="1" t="s">
        <v>309</v>
      </c>
      <c r="H294" s="1">
        <v>3157159.5</v>
      </c>
      <c r="I294" s="1">
        <v>3141421.54</v>
      </c>
      <c r="J294" s="1">
        <v>0</v>
      </c>
      <c r="K294" s="1">
        <f>_SELECT_u_city_AS_Город_TO_CHAR_f_rental_start_YYYY_MM_AS_Месяц__202609232054[[#This Row],[Чистая Выручка]] * (1 + $B$4)</f>
        <v>3141421.54</v>
      </c>
      <c r="L294" s="1">
        <f>_SELECT_u_city_AS_Город_TO_CHAR_f_rental_start_YYYY_MM_AS_Месяц__202609232054[[#This Row],[Расходы на Ремонт]] * (1 + $B$5)</f>
        <v>0</v>
      </c>
      <c r="M29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3141421.54</v>
      </c>
    </row>
    <row r="295" spans="3:13" x14ac:dyDescent="0.25">
      <c r="C295" s="1" t="s">
        <v>27</v>
      </c>
      <c r="D295" s="2">
        <v>45717</v>
      </c>
      <c r="E295" s="1" t="s">
        <v>11</v>
      </c>
      <c r="F295">
        <v>4407</v>
      </c>
      <c r="G295" s="1" t="s">
        <v>310</v>
      </c>
      <c r="H295" s="1">
        <v>3082201</v>
      </c>
      <c r="I295" s="1">
        <v>3067654.03</v>
      </c>
      <c r="J295" s="1">
        <v>149120.25</v>
      </c>
      <c r="K295" s="1">
        <f>_SELECT_u_city_AS_Город_TO_CHAR_f_rental_start_YYYY_MM_AS_Месяц__202609232054[[#This Row],[Чистая Выручка]] * (1 + $B$4)</f>
        <v>3067654.03</v>
      </c>
      <c r="L295" s="1">
        <f>_SELECT_u_city_AS_Город_TO_CHAR_f_rental_start_YYYY_MM_AS_Месяц__202609232054[[#This Row],[Расходы на Ремонт]] * (1 + $B$5)</f>
        <v>149120.25</v>
      </c>
      <c r="M29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2918533.78</v>
      </c>
    </row>
    <row r="296" spans="3:13" x14ac:dyDescent="0.25">
      <c r="C296" s="1" t="s">
        <v>27</v>
      </c>
      <c r="D296" s="2">
        <v>45717</v>
      </c>
      <c r="E296" s="1" t="s">
        <v>13</v>
      </c>
      <c r="F296">
        <v>4434</v>
      </c>
      <c r="G296" s="1" t="s">
        <v>311</v>
      </c>
      <c r="H296" s="1">
        <v>3093691.5</v>
      </c>
      <c r="I296" s="1">
        <v>3078730.56</v>
      </c>
      <c r="J296" s="1">
        <v>72464.448000000004</v>
      </c>
      <c r="K296" s="1">
        <f>_SELECT_u_city_AS_Город_TO_CHAR_f_rental_start_YYYY_MM_AS_Месяц__202609232054[[#This Row],[Чистая Выручка]] * (1 + $B$4)</f>
        <v>3078730.56</v>
      </c>
      <c r="L296" s="1">
        <f>_SELECT_u_city_AS_Город_TO_CHAR_f_rental_start_YYYY_MM_AS_Месяц__202609232054[[#This Row],[Расходы на Ремонт]] * (1 + $B$5)</f>
        <v>72464.448000000004</v>
      </c>
      <c r="M29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3006266.1120000002</v>
      </c>
    </row>
    <row r="297" spans="3:13" x14ac:dyDescent="0.25">
      <c r="C297" s="1" t="s">
        <v>27</v>
      </c>
      <c r="D297" s="2">
        <v>45717</v>
      </c>
      <c r="E297" s="1" t="s">
        <v>15</v>
      </c>
      <c r="F297">
        <v>4378</v>
      </c>
      <c r="G297" s="1" t="s">
        <v>312</v>
      </c>
      <c r="H297" s="1">
        <v>3031854.5</v>
      </c>
      <c r="I297" s="1">
        <v>3016682.97</v>
      </c>
      <c r="J297" s="1">
        <v>52933.5</v>
      </c>
      <c r="K297" s="1">
        <f>_SELECT_u_city_AS_Город_TO_CHAR_f_rental_start_YYYY_MM_AS_Месяц__202609232054[[#This Row],[Чистая Выручка]] * (1 + $B$4)</f>
        <v>3016682.97</v>
      </c>
      <c r="L297" s="1">
        <f>_SELECT_u_city_AS_Город_TO_CHAR_f_rental_start_YYYY_MM_AS_Месяц__202609232054[[#This Row],[Расходы на Ремонт]] * (1 + $B$5)</f>
        <v>52933.5</v>
      </c>
      <c r="M29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2963749.47</v>
      </c>
    </row>
    <row r="298" spans="3:13" x14ac:dyDescent="0.25">
      <c r="C298" s="1" t="s">
        <v>32</v>
      </c>
      <c r="D298" s="2">
        <v>45717</v>
      </c>
      <c r="E298" s="1" t="s">
        <v>9</v>
      </c>
      <c r="F298">
        <v>4412</v>
      </c>
      <c r="G298" s="1" t="s">
        <v>313</v>
      </c>
      <c r="H298" s="1">
        <v>3076430.5</v>
      </c>
      <c r="I298" s="1">
        <v>3062202.66</v>
      </c>
      <c r="J298" s="1">
        <v>0</v>
      </c>
      <c r="K298" s="1">
        <f>_SELECT_u_city_AS_Город_TO_CHAR_f_rental_start_YYYY_MM_AS_Месяц__202609232054[[#This Row],[Чистая Выручка]] * (1 + $B$4)</f>
        <v>3062202.66</v>
      </c>
      <c r="L298" s="1">
        <f>_SELECT_u_city_AS_Город_TO_CHAR_f_rental_start_YYYY_MM_AS_Месяц__202609232054[[#This Row],[Расходы на Ремонт]] * (1 + $B$5)</f>
        <v>0</v>
      </c>
      <c r="M29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3062202.66</v>
      </c>
    </row>
    <row r="299" spans="3:13" x14ac:dyDescent="0.25">
      <c r="C299" s="1" t="s">
        <v>32</v>
      </c>
      <c r="D299" s="2">
        <v>45717</v>
      </c>
      <c r="E299" s="1" t="s">
        <v>11</v>
      </c>
      <c r="F299">
        <v>4333</v>
      </c>
      <c r="G299" s="1" t="s">
        <v>314</v>
      </c>
      <c r="H299" s="1">
        <v>3012034</v>
      </c>
      <c r="I299" s="1">
        <v>2996248.94</v>
      </c>
      <c r="J299" s="1">
        <v>145732.52499999999</v>
      </c>
      <c r="K299" s="1">
        <f>_SELECT_u_city_AS_Город_TO_CHAR_f_rental_start_YYYY_MM_AS_Месяц__202609232054[[#This Row],[Чистая Выручка]] * (1 + $B$4)</f>
        <v>2996248.94</v>
      </c>
      <c r="L299" s="1">
        <f>_SELECT_u_city_AS_Город_TO_CHAR_f_rental_start_YYYY_MM_AS_Месяц__202609232054[[#This Row],[Расходы на Ремонт]] * (1 + $B$5)</f>
        <v>145732.52499999999</v>
      </c>
      <c r="M29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2850516.415</v>
      </c>
    </row>
    <row r="300" spans="3:13" x14ac:dyDescent="0.25">
      <c r="C300" s="1" t="s">
        <v>32</v>
      </c>
      <c r="D300" s="2">
        <v>45717</v>
      </c>
      <c r="E300" s="1" t="s">
        <v>13</v>
      </c>
      <c r="F300">
        <v>4459</v>
      </c>
      <c r="G300" s="1" t="s">
        <v>315</v>
      </c>
      <c r="H300" s="1">
        <v>3096209</v>
      </c>
      <c r="I300" s="1">
        <v>3082490.12</v>
      </c>
      <c r="J300" s="1">
        <v>71999.22</v>
      </c>
      <c r="K300" s="1">
        <f>_SELECT_u_city_AS_Город_TO_CHAR_f_rental_start_YYYY_MM_AS_Месяц__202609232054[[#This Row],[Чистая Выручка]] * (1 + $B$4)</f>
        <v>3082490.12</v>
      </c>
      <c r="L300" s="1">
        <f>_SELECT_u_city_AS_Город_TO_CHAR_f_rental_start_YYYY_MM_AS_Месяц__202609232054[[#This Row],[Расходы на Ремонт]] * (1 + $B$5)</f>
        <v>71999.22</v>
      </c>
      <c r="M30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3010490.9</v>
      </c>
    </row>
    <row r="301" spans="3:13" x14ac:dyDescent="0.25">
      <c r="C301" s="1" t="s">
        <v>32</v>
      </c>
      <c r="D301" s="2">
        <v>45717</v>
      </c>
      <c r="E301" s="1" t="s">
        <v>15</v>
      </c>
      <c r="F301">
        <v>4349</v>
      </c>
      <c r="G301" s="1" t="s">
        <v>316</v>
      </c>
      <c r="H301" s="1">
        <v>3032164</v>
      </c>
      <c r="I301" s="1">
        <v>3018175.16</v>
      </c>
      <c r="J301" s="1">
        <v>53366.553</v>
      </c>
      <c r="K301" s="1">
        <f>_SELECT_u_city_AS_Город_TO_CHAR_f_rental_start_YYYY_MM_AS_Месяц__202609232054[[#This Row],[Чистая Выручка]] * (1 + $B$4)</f>
        <v>3018175.16</v>
      </c>
      <c r="L301" s="1">
        <f>_SELECT_u_city_AS_Город_TO_CHAR_f_rental_start_YYYY_MM_AS_Месяц__202609232054[[#This Row],[Расходы на Ремонт]] * (1 + $B$5)</f>
        <v>53366.553</v>
      </c>
      <c r="M30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2964808.6070000003</v>
      </c>
    </row>
    <row r="302" spans="3:13" x14ac:dyDescent="0.25">
      <c r="C302" s="1" t="s">
        <v>8</v>
      </c>
      <c r="D302" s="2">
        <v>45748</v>
      </c>
      <c r="E302" s="1" t="s">
        <v>9</v>
      </c>
      <c r="F302">
        <v>4219</v>
      </c>
      <c r="G302" s="1" t="s">
        <v>317</v>
      </c>
      <c r="H302" s="1">
        <v>2921410.5</v>
      </c>
      <c r="I302" s="1">
        <v>2907265.78</v>
      </c>
      <c r="J302" s="1">
        <v>0</v>
      </c>
      <c r="K302" s="1">
        <f>_SELECT_u_city_AS_Город_TO_CHAR_f_rental_start_YYYY_MM_AS_Месяц__202609232054[[#This Row],[Чистая Выручка]] * (1 + $B$4)</f>
        <v>2907265.78</v>
      </c>
      <c r="L302" s="1">
        <f>_SELECT_u_city_AS_Город_TO_CHAR_f_rental_start_YYYY_MM_AS_Месяц__202609232054[[#This Row],[Расходы на Ремонт]] * (1 + $B$5)</f>
        <v>0</v>
      </c>
      <c r="M30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2907265.78</v>
      </c>
    </row>
    <row r="303" spans="3:13" x14ac:dyDescent="0.25">
      <c r="C303" s="1" t="s">
        <v>8</v>
      </c>
      <c r="D303" s="2">
        <v>45748</v>
      </c>
      <c r="E303" s="1" t="s">
        <v>11</v>
      </c>
      <c r="F303">
        <v>4158</v>
      </c>
      <c r="G303" s="1" t="s">
        <v>318</v>
      </c>
      <c r="H303" s="1">
        <v>2925066</v>
      </c>
      <c r="I303" s="1">
        <v>2910477.91</v>
      </c>
      <c r="J303" s="1">
        <v>143622.1</v>
      </c>
      <c r="K303" s="1">
        <f>_SELECT_u_city_AS_Город_TO_CHAR_f_rental_start_YYYY_MM_AS_Месяц__202609232054[[#This Row],[Чистая Выручка]] * (1 + $B$4)</f>
        <v>2910477.91</v>
      </c>
      <c r="L303" s="1">
        <f>_SELECT_u_city_AS_Город_TO_CHAR_f_rental_start_YYYY_MM_AS_Месяц__202609232054[[#This Row],[Расходы на Ремонт]] * (1 + $B$5)</f>
        <v>143622.1</v>
      </c>
      <c r="M30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2766855.81</v>
      </c>
    </row>
    <row r="304" spans="3:13" x14ac:dyDescent="0.25">
      <c r="C304" s="1" t="s">
        <v>8</v>
      </c>
      <c r="D304" s="2">
        <v>45748</v>
      </c>
      <c r="E304" s="1" t="s">
        <v>13</v>
      </c>
      <c r="F304">
        <v>4245</v>
      </c>
      <c r="G304" s="1" t="s">
        <v>319</v>
      </c>
      <c r="H304" s="1">
        <v>2961250</v>
      </c>
      <c r="I304" s="1">
        <v>2947299.02</v>
      </c>
      <c r="J304" s="1">
        <v>67882.559999999998</v>
      </c>
      <c r="K304" s="1">
        <f>_SELECT_u_city_AS_Город_TO_CHAR_f_rental_start_YYYY_MM_AS_Месяц__202609232054[[#This Row],[Чистая Выручка]] * (1 + $B$4)</f>
        <v>2947299.02</v>
      </c>
      <c r="L304" s="1">
        <f>_SELECT_u_city_AS_Город_TO_CHAR_f_rental_start_YYYY_MM_AS_Месяц__202609232054[[#This Row],[Расходы на Ремонт]] * (1 + $B$5)</f>
        <v>67882.559999999998</v>
      </c>
      <c r="M30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2879416.46</v>
      </c>
    </row>
    <row r="305" spans="3:13" x14ac:dyDescent="0.25">
      <c r="C305" s="1" t="s">
        <v>8</v>
      </c>
      <c r="D305" s="2">
        <v>45748</v>
      </c>
      <c r="E305" s="1" t="s">
        <v>15</v>
      </c>
      <c r="F305">
        <v>4078</v>
      </c>
      <c r="G305" s="1" t="s">
        <v>320</v>
      </c>
      <c r="H305" s="1">
        <v>2851734.5</v>
      </c>
      <c r="I305" s="1">
        <v>2838281.79</v>
      </c>
      <c r="J305" s="1">
        <v>50318.019</v>
      </c>
      <c r="K305" s="1">
        <f>_SELECT_u_city_AS_Город_TO_CHAR_f_rental_start_YYYY_MM_AS_Месяц__202609232054[[#This Row],[Чистая Выручка]] * (1 + $B$4)</f>
        <v>2838281.79</v>
      </c>
      <c r="L305" s="1">
        <f>_SELECT_u_city_AS_Город_TO_CHAR_f_rental_start_YYYY_MM_AS_Месяц__202609232054[[#This Row],[Расходы на Ремонт]] * (1 + $B$5)</f>
        <v>50318.019</v>
      </c>
      <c r="M30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2787963.7710000002</v>
      </c>
    </row>
    <row r="306" spans="3:13" x14ac:dyDescent="0.25">
      <c r="C306" s="1" t="s">
        <v>17</v>
      </c>
      <c r="D306" s="2">
        <v>45748</v>
      </c>
      <c r="E306" s="1" t="s">
        <v>9</v>
      </c>
      <c r="F306">
        <v>4231</v>
      </c>
      <c r="G306" s="1" t="s">
        <v>321</v>
      </c>
      <c r="H306" s="1">
        <v>2948363.5</v>
      </c>
      <c r="I306" s="1">
        <v>2933834.39</v>
      </c>
      <c r="J306" s="1">
        <v>0</v>
      </c>
      <c r="K306" s="1">
        <f>_SELECT_u_city_AS_Город_TO_CHAR_f_rental_start_YYYY_MM_AS_Месяц__202609232054[[#This Row],[Чистая Выручка]] * (1 + $B$4)</f>
        <v>2933834.39</v>
      </c>
      <c r="L306" s="1">
        <f>_SELECT_u_city_AS_Город_TO_CHAR_f_rental_start_YYYY_MM_AS_Месяц__202609232054[[#This Row],[Расходы на Ремонт]] * (1 + $B$5)</f>
        <v>0</v>
      </c>
      <c r="M30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2933834.39</v>
      </c>
    </row>
    <row r="307" spans="3:13" x14ac:dyDescent="0.25">
      <c r="C307" s="1" t="s">
        <v>17</v>
      </c>
      <c r="D307" s="2">
        <v>45748</v>
      </c>
      <c r="E307" s="1" t="s">
        <v>11</v>
      </c>
      <c r="F307">
        <v>4131</v>
      </c>
      <c r="G307" s="1" t="s">
        <v>322</v>
      </c>
      <c r="H307" s="1">
        <v>2907813</v>
      </c>
      <c r="I307" s="1">
        <v>2893489.17</v>
      </c>
      <c r="J307" s="1">
        <v>140728.42499999999</v>
      </c>
      <c r="K307" s="1">
        <f>_SELECT_u_city_AS_Город_TO_CHAR_f_rental_start_YYYY_MM_AS_Месяц__202609232054[[#This Row],[Чистая Выручка]] * (1 + $B$4)</f>
        <v>2893489.17</v>
      </c>
      <c r="L307" s="1">
        <f>_SELECT_u_city_AS_Город_TO_CHAR_f_rental_start_YYYY_MM_AS_Месяц__202609232054[[#This Row],[Расходы на Ремонт]] * (1 + $B$5)</f>
        <v>140728.42499999999</v>
      </c>
      <c r="M30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2752760.7450000001</v>
      </c>
    </row>
    <row r="308" spans="3:13" x14ac:dyDescent="0.25">
      <c r="C308" s="1" t="s">
        <v>17</v>
      </c>
      <c r="D308" s="2">
        <v>45748</v>
      </c>
      <c r="E308" s="1" t="s">
        <v>13</v>
      </c>
      <c r="F308">
        <v>4238</v>
      </c>
      <c r="G308" s="1" t="s">
        <v>323</v>
      </c>
      <c r="H308" s="1">
        <v>2932098.5</v>
      </c>
      <c r="I308" s="1">
        <v>2917795.25</v>
      </c>
      <c r="J308" s="1">
        <v>68495.316000000006</v>
      </c>
      <c r="K308" s="1">
        <f>_SELECT_u_city_AS_Город_TO_CHAR_f_rental_start_YYYY_MM_AS_Месяц__202609232054[[#This Row],[Чистая Выручка]] * (1 + $B$4)</f>
        <v>2917795.25</v>
      </c>
      <c r="L308" s="1">
        <f>_SELECT_u_city_AS_Город_TO_CHAR_f_rental_start_YYYY_MM_AS_Месяц__202609232054[[#This Row],[Расходы на Ремонт]] * (1 + $B$5)</f>
        <v>68495.316000000006</v>
      </c>
      <c r="M30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2849299.9339999999</v>
      </c>
    </row>
    <row r="309" spans="3:13" x14ac:dyDescent="0.25">
      <c r="C309" s="1" t="s">
        <v>17</v>
      </c>
      <c r="D309" s="2">
        <v>45748</v>
      </c>
      <c r="E309" s="1" t="s">
        <v>15</v>
      </c>
      <c r="F309">
        <v>4179</v>
      </c>
      <c r="G309" s="1" t="s">
        <v>324</v>
      </c>
      <c r="H309" s="1">
        <v>2881672</v>
      </c>
      <c r="I309" s="1">
        <v>2866709.68</v>
      </c>
      <c r="J309" s="1">
        <v>50923.322999999997</v>
      </c>
      <c r="K309" s="1">
        <f>_SELECT_u_city_AS_Город_TO_CHAR_f_rental_start_YYYY_MM_AS_Месяц__202609232054[[#This Row],[Чистая Выручка]] * (1 + $B$4)</f>
        <v>2866709.68</v>
      </c>
      <c r="L309" s="1">
        <f>_SELECT_u_city_AS_Город_TO_CHAR_f_rental_start_YYYY_MM_AS_Месяц__202609232054[[#This Row],[Расходы на Ремонт]] * (1 + $B$5)</f>
        <v>50923.322999999997</v>
      </c>
      <c r="M30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2815786.3570000003</v>
      </c>
    </row>
    <row r="310" spans="3:13" x14ac:dyDescent="0.25">
      <c r="C310" s="1" t="s">
        <v>22</v>
      </c>
      <c r="D310" s="2">
        <v>45748</v>
      </c>
      <c r="E310" s="1" t="s">
        <v>9</v>
      </c>
      <c r="F310">
        <v>4366</v>
      </c>
      <c r="G310" s="1" t="s">
        <v>325</v>
      </c>
      <c r="H310" s="1">
        <v>3022470</v>
      </c>
      <c r="I310" s="1">
        <v>3007719.88</v>
      </c>
      <c r="J310" s="1">
        <v>0</v>
      </c>
      <c r="K310" s="1">
        <f>_SELECT_u_city_AS_Город_TO_CHAR_f_rental_start_YYYY_MM_AS_Месяц__202609232054[[#This Row],[Чистая Выручка]] * (1 + $B$4)</f>
        <v>3007719.88</v>
      </c>
      <c r="L310" s="1">
        <f>_SELECT_u_city_AS_Город_TO_CHAR_f_rental_start_YYYY_MM_AS_Месяц__202609232054[[#This Row],[Расходы на Ремонт]] * (1 + $B$5)</f>
        <v>0</v>
      </c>
      <c r="M31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3007719.88</v>
      </c>
    </row>
    <row r="311" spans="3:13" x14ac:dyDescent="0.25">
      <c r="C311" s="1" t="s">
        <v>22</v>
      </c>
      <c r="D311" s="2">
        <v>45748</v>
      </c>
      <c r="E311" s="1" t="s">
        <v>11</v>
      </c>
      <c r="F311">
        <v>4289</v>
      </c>
      <c r="G311" s="1" t="s">
        <v>326</v>
      </c>
      <c r="H311" s="1">
        <v>2932213.5</v>
      </c>
      <c r="I311" s="1">
        <v>2916884.44</v>
      </c>
      <c r="J311" s="1">
        <v>143573.95000000001</v>
      </c>
      <c r="K311" s="1">
        <f>_SELECT_u_city_AS_Город_TO_CHAR_f_rental_start_YYYY_MM_AS_Месяц__202609232054[[#This Row],[Чистая Выручка]] * (1 + $B$4)</f>
        <v>2916884.44</v>
      </c>
      <c r="L311" s="1">
        <f>_SELECT_u_city_AS_Город_TO_CHAR_f_rental_start_YYYY_MM_AS_Месяц__202609232054[[#This Row],[Расходы на Ремонт]] * (1 + $B$5)</f>
        <v>143573.95000000001</v>
      </c>
      <c r="M31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2773310.4899999998</v>
      </c>
    </row>
    <row r="312" spans="3:13" x14ac:dyDescent="0.25">
      <c r="C312" s="1" t="s">
        <v>22</v>
      </c>
      <c r="D312" s="2">
        <v>45748</v>
      </c>
      <c r="E312" s="1" t="s">
        <v>13</v>
      </c>
      <c r="F312">
        <v>4218</v>
      </c>
      <c r="G312" s="1" t="s">
        <v>327</v>
      </c>
      <c r="H312" s="1">
        <v>2945565.5</v>
      </c>
      <c r="I312" s="1">
        <v>2930875.33</v>
      </c>
      <c r="J312" s="1">
        <v>68510.244000000006</v>
      </c>
      <c r="K312" s="1">
        <f>_SELECT_u_city_AS_Город_TO_CHAR_f_rental_start_YYYY_MM_AS_Месяц__202609232054[[#This Row],[Чистая Выручка]] * (1 + $B$4)</f>
        <v>2930875.33</v>
      </c>
      <c r="L312" s="1">
        <f>_SELECT_u_city_AS_Город_TO_CHAR_f_rental_start_YYYY_MM_AS_Месяц__202609232054[[#This Row],[Расходы на Ремонт]] * (1 + $B$5)</f>
        <v>68510.244000000006</v>
      </c>
      <c r="M31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2862365.0860000001</v>
      </c>
    </row>
    <row r="313" spans="3:13" x14ac:dyDescent="0.25">
      <c r="C313" s="1" t="s">
        <v>22</v>
      </c>
      <c r="D313" s="2">
        <v>45748</v>
      </c>
      <c r="E313" s="1" t="s">
        <v>15</v>
      </c>
      <c r="F313">
        <v>4146</v>
      </c>
      <c r="G313" s="1" t="s">
        <v>328</v>
      </c>
      <c r="H313" s="1">
        <v>2906706</v>
      </c>
      <c r="I313" s="1">
        <v>2893412.51</v>
      </c>
      <c r="J313" s="1">
        <v>50802.758999999998</v>
      </c>
      <c r="K313" s="1">
        <f>_SELECT_u_city_AS_Город_TO_CHAR_f_rental_start_YYYY_MM_AS_Месяц__202609232054[[#This Row],[Чистая Выручка]] * (1 + $B$4)</f>
        <v>2893412.51</v>
      </c>
      <c r="L313" s="1">
        <f>_SELECT_u_city_AS_Город_TO_CHAR_f_rental_start_YYYY_MM_AS_Месяц__202609232054[[#This Row],[Расходы на Ремонт]] * (1 + $B$5)</f>
        <v>50802.758999999998</v>
      </c>
      <c r="M31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2842609.7509999997</v>
      </c>
    </row>
    <row r="314" spans="3:13" x14ac:dyDescent="0.25">
      <c r="C314" s="1" t="s">
        <v>27</v>
      </c>
      <c r="D314" s="2">
        <v>45748</v>
      </c>
      <c r="E314" s="1" t="s">
        <v>9</v>
      </c>
      <c r="F314">
        <v>4116</v>
      </c>
      <c r="G314" s="1" t="s">
        <v>329</v>
      </c>
      <c r="H314" s="1">
        <v>2902354.5</v>
      </c>
      <c r="I314" s="1">
        <v>2888646.66</v>
      </c>
      <c r="J314" s="1">
        <v>0</v>
      </c>
      <c r="K314" s="1">
        <f>_SELECT_u_city_AS_Город_TO_CHAR_f_rental_start_YYYY_MM_AS_Месяц__202609232054[[#This Row],[Чистая Выручка]] * (1 + $B$4)</f>
        <v>2888646.66</v>
      </c>
      <c r="L314" s="1">
        <f>_SELECT_u_city_AS_Город_TO_CHAR_f_rental_start_YYYY_MM_AS_Месяц__202609232054[[#This Row],[Расходы на Ремонт]] * (1 + $B$5)</f>
        <v>0</v>
      </c>
      <c r="M31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2888646.66</v>
      </c>
    </row>
    <row r="315" spans="3:13" x14ac:dyDescent="0.25">
      <c r="C315" s="1" t="s">
        <v>27</v>
      </c>
      <c r="D315" s="2">
        <v>45748</v>
      </c>
      <c r="E315" s="1" t="s">
        <v>11</v>
      </c>
      <c r="F315">
        <v>4064</v>
      </c>
      <c r="G315" s="1" t="s">
        <v>330</v>
      </c>
      <c r="H315" s="1">
        <v>2817558.5</v>
      </c>
      <c r="I315" s="1">
        <v>2803816.65</v>
      </c>
      <c r="J315" s="1">
        <v>137934.77499999999</v>
      </c>
      <c r="K315" s="1">
        <f>_SELECT_u_city_AS_Город_TO_CHAR_f_rental_start_YYYY_MM_AS_Месяц__202609232054[[#This Row],[Чистая Выручка]] * (1 + $B$4)</f>
        <v>2803816.65</v>
      </c>
      <c r="L315" s="1">
        <f>_SELECT_u_city_AS_Город_TO_CHAR_f_rental_start_YYYY_MM_AS_Месяц__202609232054[[#This Row],[Расходы на Ремонт]] * (1 + $B$5)</f>
        <v>137934.77499999999</v>
      </c>
      <c r="M31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2665881.875</v>
      </c>
    </row>
    <row r="316" spans="3:13" x14ac:dyDescent="0.25">
      <c r="C316" s="1" t="s">
        <v>27</v>
      </c>
      <c r="D316" s="2">
        <v>45748</v>
      </c>
      <c r="E316" s="1" t="s">
        <v>13</v>
      </c>
      <c r="F316">
        <v>4164</v>
      </c>
      <c r="G316" s="1" t="s">
        <v>331</v>
      </c>
      <c r="H316" s="1">
        <v>2889524</v>
      </c>
      <c r="I316" s="1">
        <v>2874772.94</v>
      </c>
      <c r="J316" s="1">
        <v>68035.152000000002</v>
      </c>
      <c r="K316" s="1">
        <f>_SELECT_u_city_AS_Город_TO_CHAR_f_rental_start_YYYY_MM_AS_Месяц__202609232054[[#This Row],[Чистая Выручка]] * (1 + $B$4)</f>
        <v>2874772.94</v>
      </c>
      <c r="L316" s="1">
        <f>_SELECT_u_city_AS_Город_TO_CHAR_f_rental_start_YYYY_MM_AS_Месяц__202609232054[[#This Row],[Расходы на Ремонт]] * (1 + $B$5)</f>
        <v>68035.152000000002</v>
      </c>
      <c r="M31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2806737.7879999997</v>
      </c>
    </row>
    <row r="317" spans="3:13" x14ac:dyDescent="0.25">
      <c r="C317" s="1" t="s">
        <v>27</v>
      </c>
      <c r="D317" s="2">
        <v>45748</v>
      </c>
      <c r="E317" s="1" t="s">
        <v>15</v>
      </c>
      <c r="F317">
        <v>4074</v>
      </c>
      <c r="G317" s="1" t="s">
        <v>332</v>
      </c>
      <c r="H317" s="1">
        <v>2835264</v>
      </c>
      <c r="I317" s="1">
        <v>2821743.37</v>
      </c>
      <c r="J317" s="1">
        <v>49300.667999999998</v>
      </c>
      <c r="K317" s="1">
        <f>_SELECT_u_city_AS_Город_TO_CHAR_f_rental_start_YYYY_MM_AS_Месяц__202609232054[[#This Row],[Чистая Выручка]] * (1 + $B$4)</f>
        <v>2821743.37</v>
      </c>
      <c r="L317" s="1">
        <f>_SELECT_u_city_AS_Город_TO_CHAR_f_rental_start_YYYY_MM_AS_Месяц__202609232054[[#This Row],[Расходы на Ремонт]] * (1 + $B$5)</f>
        <v>49300.667999999998</v>
      </c>
      <c r="M31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2772442.702</v>
      </c>
    </row>
    <row r="318" spans="3:13" x14ac:dyDescent="0.25">
      <c r="C318" s="1" t="s">
        <v>32</v>
      </c>
      <c r="D318" s="2">
        <v>45748</v>
      </c>
      <c r="E318" s="1" t="s">
        <v>9</v>
      </c>
      <c r="F318">
        <v>4304</v>
      </c>
      <c r="G318" s="1" t="s">
        <v>333</v>
      </c>
      <c r="H318" s="1">
        <v>3000827.5</v>
      </c>
      <c r="I318" s="1">
        <v>2985649.74</v>
      </c>
      <c r="J318" s="1">
        <v>0</v>
      </c>
      <c r="K318" s="1">
        <f>_SELECT_u_city_AS_Город_TO_CHAR_f_rental_start_YYYY_MM_AS_Месяц__202609232054[[#This Row],[Чистая Выручка]] * (1 + $B$4)</f>
        <v>2985649.74</v>
      </c>
      <c r="L318" s="1">
        <f>_SELECT_u_city_AS_Город_TO_CHAR_f_rental_start_YYYY_MM_AS_Месяц__202609232054[[#This Row],[Расходы на Ремонт]] * (1 + $B$5)</f>
        <v>0</v>
      </c>
      <c r="M31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2985649.74</v>
      </c>
    </row>
    <row r="319" spans="3:13" x14ac:dyDescent="0.25">
      <c r="C319" s="1" t="s">
        <v>32</v>
      </c>
      <c r="D319" s="2">
        <v>45748</v>
      </c>
      <c r="E319" s="1" t="s">
        <v>11</v>
      </c>
      <c r="F319">
        <v>4132</v>
      </c>
      <c r="G319" s="1" t="s">
        <v>334</v>
      </c>
      <c r="H319" s="1">
        <v>2872193</v>
      </c>
      <c r="I319" s="1">
        <v>2858631.22</v>
      </c>
      <c r="J319" s="1">
        <v>141499.125</v>
      </c>
      <c r="K319" s="1">
        <f>_SELECT_u_city_AS_Город_TO_CHAR_f_rental_start_YYYY_MM_AS_Месяц__202609232054[[#This Row],[Чистая Выручка]] * (1 + $B$4)</f>
        <v>2858631.22</v>
      </c>
      <c r="L319" s="1">
        <f>_SELECT_u_city_AS_Город_TO_CHAR_f_rental_start_YYYY_MM_AS_Месяц__202609232054[[#This Row],[Расходы на Ремонт]] * (1 + $B$5)</f>
        <v>141499.125</v>
      </c>
      <c r="M31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2717132.0950000002</v>
      </c>
    </row>
    <row r="320" spans="3:13" x14ac:dyDescent="0.25">
      <c r="C320" s="1" t="s">
        <v>32</v>
      </c>
      <c r="D320" s="2">
        <v>45748</v>
      </c>
      <c r="E320" s="1" t="s">
        <v>13</v>
      </c>
      <c r="F320">
        <v>4199</v>
      </c>
      <c r="G320" s="1" t="s">
        <v>335</v>
      </c>
      <c r="H320" s="1">
        <v>2933307</v>
      </c>
      <c r="I320" s="1">
        <v>2919785.01</v>
      </c>
      <c r="J320" s="1">
        <v>69663.228000000003</v>
      </c>
      <c r="K320" s="1">
        <f>_SELECT_u_city_AS_Город_TO_CHAR_f_rental_start_YYYY_MM_AS_Месяц__202609232054[[#This Row],[Чистая Выручка]] * (1 + $B$4)</f>
        <v>2919785.01</v>
      </c>
      <c r="L320" s="1">
        <f>_SELECT_u_city_AS_Город_TO_CHAR_f_rental_start_YYYY_MM_AS_Месяц__202609232054[[#This Row],[Расходы на Ремонт]] * (1 + $B$5)</f>
        <v>69663.228000000003</v>
      </c>
      <c r="M32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2850121.7819999997</v>
      </c>
    </row>
    <row r="321" spans="3:13" x14ac:dyDescent="0.25">
      <c r="C321" s="1" t="s">
        <v>32</v>
      </c>
      <c r="D321" s="2">
        <v>45748</v>
      </c>
      <c r="E321" s="1" t="s">
        <v>15</v>
      </c>
      <c r="F321">
        <v>4112</v>
      </c>
      <c r="G321" s="1" t="s">
        <v>336</v>
      </c>
      <c r="H321" s="1">
        <v>2840000</v>
      </c>
      <c r="I321" s="1">
        <v>2825671.41</v>
      </c>
      <c r="J321" s="1">
        <v>49831.362000000001</v>
      </c>
      <c r="K321" s="1">
        <f>_SELECT_u_city_AS_Город_TO_CHAR_f_rental_start_YYYY_MM_AS_Месяц__202609232054[[#This Row],[Чистая Выручка]] * (1 + $B$4)</f>
        <v>2825671.41</v>
      </c>
      <c r="L321" s="1">
        <f>_SELECT_u_city_AS_Город_TO_CHAR_f_rental_start_YYYY_MM_AS_Месяц__202609232054[[#This Row],[Расходы на Ремонт]] * (1 + $B$5)</f>
        <v>49831.362000000001</v>
      </c>
      <c r="M32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2775840.048</v>
      </c>
    </row>
    <row r="322" spans="3:13" x14ac:dyDescent="0.25">
      <c r="C322" s="1" t="s">
        <v>8</v>
      </c>
      <c r="D322" s="2">
        <v>45778</v>
      </c>
      <c r="E322" s="1" t="s">
        <v>9</v>
      </c>
      <c r="F322">
        <v>4170</v>
      </c>
      <c r="G322" s="1" t="s">
        <v>337</v>
      </c>
      <c r="H322" s="1">
        <v>2909916.5</v>
      </c>
      <c r="I322" s="1">
        <v>2894953.78</v>
      </c>
      <c r="J322" s="1">
        <v>0</v>
      </c>
      <c r="K322" s="1">
        <f>_SELECT_u_city_AS_Город_TO_CHAR_f_rental_start_YYYY_MM_AS_Месяц__202609232054[[#This Row],[Чистая Выручка]] * (1 + $B$4)</f>
        <v>2894953.78</v>
      </c>
      <c r="L322" s="1">
        <f>_SELECT_u_city_AS_Город_TO_CHAR_f_rental_start_YYYY_MM_AS_Месяц__202609232054[[#This Row],[Расходы на Ремонт]] * (1 + $B$5)</f>
        <v>0</v>
      </c>
      <c r="M32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2894953.78</v>
      </c>
    </row>
    <row r="323" spans="3:13" x14ac:dyDescent="0.25">
      <c r="C323" s="1" t="s">
        <v>8</v>
      </c>
      <c r="D323" s="2">
        <v>45778</v>
      </c>
      <c r="E323" s="1" t="s">
        <v>11</v>
      </c>
      <c r="F323">
        <v>4075</v>
      </c>
      <c r="G323" s="1" t="s">
        <v>338</v>
      </c>
      <c r="H323" s="1">
        <v>2910426</v>
      </c>
      <c r="I323" s="1">
        <v>2897359.1</v>
      </c>
      <c r="J323" s="1">
        <v>140100.45000000001</v>
      </c>
      <c r="K323" s="1">
        <f>_SELECT_u_city_AS_Город_TO_CHAR_f_rental_start_YYYY_MM_AS_Месяц__202609232054[[#This Row],[Чистая Выручка]] * (1 + $B$4)</f>
        <v>2897359.1</v>
      </c>
      <c r="L323" s="1">
        <f>_SELECT_u_city_AS_Город_TO_CHAR_f_rental_start_YYYY_MM_AS_Месяц__202609232054[[#This Row],[Расходы на Ремонт]] * (1 + $B$5)</f>
        <v>140100.45000000001</v>
      </c>
      <c r="M32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2757258.65</v>
      </c>
    </row>
    <row r="324" spans="3:13" x14ac:dyDescent="0.25">
      <c r="C324" s="1" t="s">
        <v>8</v>
      </c>
      <c r="D324" s="2">
        <v>45778</v>
      </c>
      <c r="E324" s="1" t="s">
        <v>13</v>
      </c>
      <c r="F324">
        <v>4265</v>
      </c>
      <c r="G324" s="1" t="s">
        <v>339</v>
      </c>
      <c r="H324" s="1">
        <v>2963078</v>
      </c>
      <c r="I324" s="1">
        <v>2949130.41</v>
      </c>
      <c r="J324" s="1">
        <v>70189.284</v>
      </c>
      <c r="K324" s="1">
        <f>_SELECT_u_city_AS_Город_TO_CHAR_f_rental_start_YYYY_MM_AS_Месяц__202609232054[[#This Row],[Чистая Выручка]] * (1 + $B$4)</f>
        <v>2949130.41</v>
      </c>
      <c r="L324" s="1">
        <f>_SELECT_u_city_AS_Город_TO_CHAR_f_rental_start_YYYY_MM_AS_Месяц__202609232054[[#This Row],[Расходы на Ремонт]] * (1 + $B$5)</f>
        <v>70189.284</v>
      </c>
      <c r="M32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2878941.1260000002</v>
      </c>
    </row>
    <row r="325" spans="3:13" x14ac:dyDescent="0.25">
      <c r="C325" s="1" t="s">
        <v>8</v>
      </c>
      <c r="D325" s="2">
        <v>45778</v>
      </c>
      <c r="E325" s="1" t="s">
        <v>15</v>
      </c>
      <c r="F325">
        <v>4132</v>
      </c>
      <c r="G325" s="1" t="s">
        <v>340</v>
      </c>
      <c r="H325" s="1">
        <v>2899984</v>
      </c>
      <c r="I325" s="1">
        <v>2886308.3</v>
      </c>
      <c r="J325" s="1">
        <v>50529.123</v>
      </c>
      <c r="K325" s="1">
        <f>_SELECT_u_city_AS_Город_TO_CHAR_f_rental_start_YYYY_MM_AS_Месяц__202609232054[[#This Row],[Чистая Выручка]] * (1 + $B$4)</f>
        <v>2886308.3</v>
      </c>
      <c r="L325" s="1">
        <f>_SELECT_u_city_AS_Город_TO_CHAR_f_rental_start_YYYY_MM_AS_Месяц__202609232054[[#This Row],[Расходы на Ремонт]] * (1 + $B$5)</f>
        <v>50529.123</v>
      </c>
      <c r="M32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2835779.1769999997</v>
      </c>
    </row>
    <row r="326" spans="3:13" x14ac:dyDescent="0.25">
      <c r="C326" s="1" t="s">
        <v>17</v>
      </c>
      <c r="D326" s="2">
        <v>45778</v>
      </c>
      <c r="E326" s="1" t="s">
        <v>9</v>
      </c>
      <c r="F326">
        <v>4077</v>
      </c>
      <c r="G326" s="1" t="s">
        <v>341</v>
      </c>
      <c r="H326" s="1">
        <v>2846383.5</v>
      </c>
      <c r="I326" s="1">
        <v>2832434.02</v>
      </c>
      <c r="J326" s="1">
        <v>0</v>
      </c>
      <c r="K326" s="1">
        <f>_SELECT_u_city_AS_Город_TO_CHAR_f_rental_start_YYYY_MM_AS_Месяц__202609232054[[#This Row],[Чистая Выручка]] * (1 + $B$4)</f>
        <v>2832434.02</v>
      </c>
      <c r="L326" s="1">
        <f>_SELECT_u_city_AS_Город_TO_CHAR_f_rental_start_YYYY_MM_AS_Месяц__202609232054[[#This Row],[Расходы на Ремонт]] * (1 + $B$5)</f>
        <v>0</v>
      </c>
      <c r="M32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2832434.02</v>
      </c>
    </row>
    <row r="327" spans="3:13" x14ac:dyDescent="0.25">
      <c r="C327" s="1" t="s">
        <v>17</v>
      </c>
      <c r="D327" s="2">
        <v>45778</v>
      </c>
      <c r="E327" s="1" t="s">
        <v>11</v>
      </c>
      <c r="F327">
        <v>4231</v>
      </c>
      <c r="G327" s="1" t="s">
        <v>342</v>
      </c>
      <c r="H327" s="1">
        <v>2947936</v>
      </c>
      <c r="I327" s="1">
        <v>2935147.09</v>
      </c>
      <c r="J327" s="1">
        <v>143656.07500000001</v>
      </c>
      <c r="K327" s="1">
        <f>_SELECT_u_city_AS_Город_TO_CHAR_f_rental_start_YYYY_MM_AS_Месяц__202609232054[[#This Row],[Чистая Выручка]] * (1 + $B$4)</f>
        <v>2935147.09</v>
      </c>
      <c r="L327" s="1">
        <f>_SELECT_u_city_AS_Город_TO_CHAR_f_rental_start_YYYY_MM_AS_Месяц__202609232054[[#This Row],[Расходы на Ремонт]] * (1 + $B$5)</f>
        <v>143656.07500000001</v>
      </c>
      <c r="M32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2791491.0149999997</v>
      </c>
    </row>
    <row r="328" spans="3:13" x14ac:dyDescent="0.25">
      <c r="C328" s="1" t="s">
        <v>17</v>
      </c>
      <c r="D328" s="2">
        <v>45778</v>
      </c>
      <c r="E328" s="1" t="s">
        <v>13</v>
      </c>
      <c r="F328">
        <v>4159</v>
      </c>
      <c r="G328" s="1" t="s">
        <v>343</v>
      </c>
      <c r="H328" s="1">
        <v>2926293</v>
      </c>
      <c r="I328" s="1">
        <v>2913186.85</v>
      </c>
      <c r="J328" s="1">
        <v>67895.004000000001</v>
      </c>
      <c r="K328" s="1">
        <f>_SELECT_u_city_AS_Город_TO_CHAR_f_rental_start_YYYY_MM_AS_Месяц__202609232054[[#This Row],[Чистая Выручка]] * (1 + $B$4)</f>
        <v>2913186.85</v>
      </c>
      <c r="L328" s="1">
        <f>_SELECT_u_city_AS_Город_TO_CHAR_f_rental_start_YYYY_MM_AS_Месяц__202609232054[[#This Row],[Расходы на Ремонт]] * (1 + $B$5)</f>
        <v>67895.004000000001</v>
      </c>
      <c r="M32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2845291.8459999999</v>
      </c>
    </row>
    <row r="329" spans="3:13" x14ac:dyDescent="0.25">
      <c r="C329" s="1" t="s">
        <v>17</v>
      </c>
      <c r="D329" s="2">
        <v>45778</v>
      </c>
      <c r="E329" s="1" t="s">
        <v>15</v>
      </c>
      <c r="F329">
        <v>4090</v>
      </c>
      <c r="G329" s="1" t="s">
        <v>344</v>
      </c>
      <c r="H329" s="1">
        <v>2847782</v>
      </c>
      <c r="I329" s="1">
        <v>2834181.8</v>
      </c>
      <c r="J329" s="1">
        <v>50263.902000000002</v>
      </c>
      <c r="K329" s="1">
        <f>_SELECT_u_city_AS_Город_TO_CHAR_f_rental_start_YYYY_MM_AS_Месяц__202609232054[[#This Row],[Чистая Выручка]] * (1 + $B$4)</f>
        <v>2834181.8</v>
      </c>
      <c r="L329" s="1">
        <f>_SELECT_u_city_AS_Город_TO_CHAR_f_rental_start_YYYY_MM_AS_Месяц__202609232054[[#This Row],[Расходы на Ремонт]] * (1 + $B$5)</f>
        <v>50263.902000000002</v>
      </c>
      <c r="M32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2783917.898</v>
      </c>
    </row>
    <row r="330" spans="3:13" x14ac:dyDescent="0.25">
      <c r="C330" s="1" t="s">
        <v>22</v>
      </c>
      <c r="D330" s="2">
        <v>45778</v>
      </c>
      <c r="E330" s="1" t="s">
        <v>9</v>
      </c>
      <c r="F330">
        <v>4218</v>
      </c>
      <c r="G330" s="1" t="s">
        <v>345</v>
      </c>
      <c r="H330" s="1">
        <v>2928654.5</v>
      </c>
      <c r="I330" s="1">
        <v>2914098.17</v>
      </c>
      <c r="J330" s="1">
        <v>0</v>
      </c>
      <c r="K330" s="1">
        <f>_SELECT_u_city_AS_Город_TO_CHAR_f_rental_start_YYYY_MM_AS_Месяц__202609232054[[#This Row],[Чистая Выручка]] * (1 + $B$4)</f>
        <v>2914098.17</v>
      </c>
      <c r="L330" s="1">
        <f>_SELECT_u_city_AS_Город_TO_CHAR_f_rental_start_YYYY_MM_AS_Месяц__202609232054[[#This Row],[Расходы на Ремонт]] * (1 + $B$5)</f>
        <v>0</v>
      </c>
      <c r="M33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2914098.17</v>
      </c>
    </row>
    <row r="331" spans="3:13" x14ac:dyDescent="0.25">
      <c r="C331" s="1" t="s">
        <v>22</v>
      </c>
      <c r="D331" s="2">
        <v>45778</v>
      </c>
      <c r="E331" s="1" t="s">
        <v>11</v>
      </c>
      <c r="F331">
        <v>4366</v>
      </c>
      <c r="G331" s="1" t="s">
        <v>346</v>
      </c>
      <c r="H331" s="1">
        <v>3066888</v>
      </c>
      <c r="I331" s="1">
        <v>3052445.76</v>
      </c>
      <c r="J331" s="1">
        <v>148159.54999999999</v>
      </c>
      <c r="K331" s="1">
        <f>_SELECT_u_city_AS_Город_TO_CHAR_f_rental_start_YYYY_MM_AS_Месяц__202609232054[[#This Row],[Чистая Выручка]] * (1 + $B$4)</f>
        <v>3052445.76</v>
      </c>
      <c r="L331" s="1">
        <f>_SELECT_u_city_AS_Город_TO_CHAR_f_rental_start_YYYY_MM_AS_Месяц__202609232054[[#This Row],[Расходы на Ремонт]] * (1 + $B$5)</f>
        <v>148159.54999999999</v>
      </c>
      <c r="M33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2904286.21</v>
      </c>
    </row>
    <row r="332" spans="3:13" x14ac:dyDescent="0.25">
      <c r="C332" s="1" t="s">
        <v>22</v>
      </c>
      <c r="D332" s="2">
        <v>45778</v>
      </c>
      <c r="E332" s="1" t="s">
        <v>13</v>
      </c>
      <c r="F332">
        <v>4146</v>
      </c>
      <c r="G332" s="1" t="s">
        <v>347</v>
      </c>
      <c r="H332" s="1">
        <v>2874662.5</v>
      </c>
      <c r="I332" s="1">
        <v>2860964.79</v>
      </c>
      <c r="J332" s="1">
        <v>68423.915999999997</v>
      </c>
      <c r="K332" s="1">
        <f>_SELECT_u_city_AS_Город_TO_CHAR_f_rental_start_YYYY_MM_AS_Месяц__202609232054[[#This Row],[Чистая Выручка]] * (1 + $B$4)</f>
        <v>2860964.79</v>
      </c>
      <c r="L332" s="1">
        <f>_SELECT_u_city_AS_Город_TO_CHAR_f_rental_start_YYYY_MM_AS_Месяц__202609232054[[#This Row],[Расходы на Ремонт]] * (1 + $B$5)</f>
        <v>68423.915999999997</v>
      </c>
      <c r="M33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2792540.8739999998</v>
      </c>
    </row>
    <row r="333" spans="3:13" x14ac:dyDescent="0.25">
      <c r="C333" s="1" t="s">
        <v>22</v>
      </c>
      <c r="D333" s="2">
        <v>45778</v>
      </c>
      <c r="E333" s="1" t="s">
        <v>15</v>
      </c>
      <c r="F333">
        <v>4126</v>
      </c>
      <c r="G333" s="1" t="s">
        <v>348</v>
      </c>
      <c r="H333" s="1">
        <v>2910307.5</v>
      </c>
      <c r="I333" s="1">
        <v>2896490.33</v>
      </c>
      <c r="J333" s="1">
        <v>50691.627</v>
      </c>
      <c r="K333" s="1">
        <f>_SELECT_u_city_AS_Город_TO_CHAR_f_rental_start_YYYY_MM_AS_Месяц__202609232054[[#This Row],[Чистая Выручка]] * (1 + $B$4)</f>
        <v>2896490.33</v>
      </c>
      <c r="L333" s="1">
        <f>_SELECT_u_city_AS_Город_TO_CHAR_f_rental_start_YYYY_MM_AS_Месяц__202609232054[[#This Row],[Расходы на Ремонт]] * (1 + $B$5)</f>
        <v>50691.627</v>
      </c>
      <c r="M33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2845798.7030000002</v>
      </c>
    </row>
    <row r="334" spans="3:13" x14ac:dyDescent="0.25">
      <c r="C334" s="1" t="s">
        <v>27</v>
      </c>
      <c r="D334" s="2">
        <v>45778</v>
      </c>
      <c r="E334" s="1" t="s">
        <v>9</v>
      </c>
      <c r="F334">
        <v>4173</v>
      </c>
      <c r="G334" s="1" t="s">
        <v>349</v>
      </c>
      <c r="H334" s="1">
        <v>2919986</v>
      </c>
      <c r="I334" s="1">
        <v>2906468.74</v>
      </c>
      <c r="J334" s="1">
        <v>0</v>
      </c>
      <c r="K334" s="1">
        <f>_SELECT_u_city_AS_Город_TO_CHAR_f_rental_start_YYYY_MM_AS_Месяц__202609232054[[#This Row],[Чистая Выручка]] * (1 + $B$4)</f>
        <v>2906468.74</v>
      </c>
      <c r="L334" s="1">
        <f>_SELECT_u_city_AS_Город_TO_CHAR_f_rental_start_YYYY_MM_AS_Месяц__202609232054[[#This Row],[Расходы на Ремонт]] * (1 + $B$5)</f>
        <v>0</v>
      </c>
      <c r="M33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2906468.74</v>
      </c>
    </row>
    <row r="335" spans="3:13" x14ac:dyDescent="0.25">
      <c r="C335" s="1" t="s">
        <v>27</v>
      </c>
      <c r="D335" s="2">
        <v>45778</v>
      </c>
      <c r="E335" s="1" t="s">
        <v>11</v>
      </c>
      <c r="F335">
        <v>4094</v>
      </c>
      <c r="G335" s="1" t="s">
        <v>350</v>
      </c>
      <c r="H335" s="1">
        <v>2840104</v>
      </c>
      <c r="I335" s="1">
        <v>2826728.81</v>
      </c>
      <c r="J335" s="1">
        <v>138146.35</v>
      </c>
      <c r="K335" s="1">
        <f>_SELECT_u_city_AS_Город_TO_CHAR_f_rental_start_YYYY_MM_AS_Месяц__202609232054[[#This Row],[Чистая Выручка]] * (1 + $B$4)</f>
        <v>2826728.81</v>
      </c>
      <c r="L335" s="1">
        <f>_SELECT_u_city_AS_Город_TO_CHAR_f_rental_start_YYYY_MM_AS_Месяц__202609232054[[#This Row],[Расходы на Ремонт]] * (1 + $B$5)</f>
        <v>138146.35</v>
      </c>
      <c r="M33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2688582.46</v>
      </c>
    </row>
    <row r="336" spans="3:13" x14ac:dyDescent="0.25">
      <c r="C336" s="1" t="s">
        <v>27</v>
      </c>
      <c r="D336" s="2">
        <v>45778</v>
      </c>
      <c r="E336" s="1" t="s">
        <v>13</v>
      </c>
      <c r="F336">
        <v>4166</v>
      </c>
      <c r="G336" s="1" t="s">
        <v>351</v>
      </c>
      <c r="H336" s="1">
        <v>2894904</v>
      </c>
      <c r="I336" s="1">
        <v>2879974.16</v>
      </c>
      <c r="J336" s="1">
        <v>67897.032000000007</v>
      </c>
      <c r="K336" s="1">
        <f>_SELECT_u_city_AS_Город_TO_CHAR_f_rental_start_YYYY_MM_AS_Месяц__202609232054[[#This Row],[Чистая Выручка]] * (1 + $B$4)</f>
        <v>2879974.16</v>
      </c>
      <c r="L336" s="1">
        <f>_SELECT_u_city_AS_Город_TO_CHAR_f_rental_start_YYYY_MM_AS_Месяц__202609232054[[#This Row],[Расходы на Ремонт]] * (1 + $B$5)</f>
        <v>67897.032000000007</v>
      </c>
      <c r="M33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2812077.128</v>
      </c>
    </row>
    <row r="337" spans="3:13" x14ac:dyDescent="0.25">
      <c r="C337" s="1" t="s">
        <v>27</v>
      </c>
      <c r="D337" s="2">
        <v>45778</v>
      </c>
      <c r="E337" s="1" t="s">
        <v>15</v>
      </c>
      <c r="F337">
        <v>4099</v>
      </c>
      <c r="G337" s="1" t="s">
        <v>352</v>
      </c>
      <c r="H337" s="1">
        <v>2847186</v>
      </c>
      <c r="I337" s="1">
        <v>2834379.63</v>
      </c>
      <c r="J337" s="1">
        <v>49570.713000000003</v>
      </c>
      <c r="K337" s="1">
        <f>_SELECT_u_city_AS_Город_TO_CHAR_f_rental_start_YYYY_MM_AS_Месяц__202609232054[[#This Row],[Чистая Выручка]] * (1 + $B$4)</f>
        <v>2834379.63</v>
      </c>
      <c r="L337" s="1">
        <f>_SELECT_u_city_AS_Город_TO_CHAR_f_rental_start_YYYY_MM_AS_Месяц__202609232054[[#This Row],[Расходы на Ремонт]] * (1 + $B$5)</f>
        <v>49570.713000000003</v>
      </c>
      <c r="M33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2784808.9169999999</v>
      </c>
    </row>
    <row r="338" spans="3:13" x14ac:dyDescent="0.25">
      <c r="C338" s="1" t="s">
        <v>32</v>
      </c>
      <c r="D338" s="2">
        <v>45778</v>
      </c>
      <c r="E338" s="1" t="s">
        <v>9</v>
      </c>
      <c r="F338">
        <v>4184</v>
      </c>
      <c r="G338" s="1" t="s">
        <v>353</v>
      </c>
      <c r="H338" s="1">
        <v>2890813</v>
      </c>
      <c r="I338" s="1">
        <v>2877216.3</v>
      </c>
      <c r="J338" s="1">
        <v>0</v>
      </c>
      <c r="K338" s="1">
        <f>_SELECT_u_city_AS_Город_TO_CHAR_f_rental_start_YYYY_MM_AS_Месяц__202609232054[[#This Row],[Чистая Выручка]] * (1 + $B$4)</f>
        <v>2877216.3</v>
      </c>
      <c r="L338" s="1">
        <f>_SELECT_u_city_AS_Город_TO_CHAR_f_rental_start_YYYY_MM_AS_Месяц__202609232054[[#This Row],[Расходы на Ремонт]] * (1 + $B$5)</f>
        <v>0</v>
      </c>
      <c r="M33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2877216.3</v>
      </c>
    </row>
    <row r="339" spans="3:13" x14ac:dyDescent="0.25">
      <c r="C339" s="1" t="s">
        <v>32</v>
      </c>
      <c r="D339" s="2">
        <v>45778</v>
      </c>
      <c r="E339" s="1" t="s">
        <v>11</v>
      </c>
      <c r="F339">
        <v>4195</v>
      </c>
      <c r="G339" s="1" t="s">
        <v>354</v>
      </c>
      <c r="H339" s="1">
        <v>2955650</v>
      </c>
      <c r="I339" s="1">
        <v>2941499.35</v>
      </c>
      <c r="J339" s="1">
        <v>145063.70000000001</v>
      </c>
      <c r="K339" s="1">
        <f>_SELECT_u_city_AS_Город_TO_CHAR_f_rental_start_YYYY_MM_AS_Месяц__202609232054[[#This Row],[Чистая Выручка]] * (1 + $B$4)</f>
        <v>2941499.35</v>
      </c>
      <c r="L339" s="1">
        <f>_SELECT_u_city_AS_Город_TO_CHAR_f_rental_start_YYYY_MM_AS_Месяц__202609232054[[#This Row],[Расходы на Ремонт]] * (1 + $B$5)</f>
        <v>145063.70000000001</v>
      </c>
      <c r="M33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2796435.65</v>
      </c>
    </row>
    <row r="340" spans="3:13" x14ac:dyDescent="0.25">
      <c r="C340" s="1" t="s">
        <v>32</v>
      </c>
      <c r="D340" s="2">
        <v>45778</v>
      </c>
      <c r="E340" s="1" t="s">
        <v>13</v>
      </c>
      <c r="F340">
        <v>4217</v>
      </c>
      <c r="G340" s="1" t="s">
        <v>355</v>
      </c>
      <c r="H340" s="1">
        <v>2952897.5</v>
      </c>
      <c r="I340" s="1">
        <v>2939907.01</v>
      </c>
      <c r="J340" s="1">
        <v>70069.5</v>
      </c>
      <c r="K340" s="1">
        <f>_SELECT_u_city_AS_Город_TO_CHAR_f_rental_start_YYYY_MM_AS_Месяц__202609232054[[#This Row],[Чистая Выручка]] * (1 + $B$4)</f>
        <v>2939907.01</v>
      </c>
      <c r="L340" s="1">
        <f>_SELECT_u_city_AS_Город_TO_CHAR_f_rental_start_YYYY_MM_AS_Месяц__202609232054[[#This Row],[Расходы на Ремонт]] * (1 + $B$5)</f>
        <v>70069.5</v>
      </c>
      <c r="M34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2869837.51</v>
      </c>
    </row>
    <row r="341" spans="3:13" x14ac:dyDescent="0.25">
      <c r="C341" s="1" t="s">
        <v>32</v>
      </c>
      <c r="D341" s="2">
        <v>45778</v>
      </c>
      <c r="E341" s="1" t="s">
        <v>15</v>
      </c>
      <c r="F341">
        <v>4113</v>
      </c>
      <c r="G341" s="1" t="s">
        <v>356</v>
      </c>
      <c r="H341" s="1">
        <v>2877727.5</v>
      </c>
      <c r="I341" s="1">
        <v>2863930.05</v>
      </c>
      <c r="J341" s="1">
        <v>51494.417999999998</v>
      </c>
      <c r="K341" s="1">
        <f>_SELECT_u_city_AS_Город_TO_CHAR_f_rental_start_YYYY_MM_AS_Месяц__202609232054[[#This Row],[Чистая Выручка]] * (1 + $B$4)</f>
        <v>2863930.05</v>
      </c>
      <c r="L341" s="1">
        <f>_SELECT_u_city_AS_Город_TO_CHAR_f_rental_start_YYYY_MM_AS_Месяц__202609232054[[#This Row],[Расходы на Ремонт]] * (1 + $B$5)</f>
        <v>51494.417999999998</v>
      </c>
      <c r="M34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2812435.6319999998</v>
      </c>
    </row>
    <row r="342" spans="3:13" x14ac:dyDescent="0.25">
      <c r="C342" s="1" t="s">
        <v>8</v>
      </c>
      <c r="D342" s="2">
        <v>45809</v>
      </c>
      <c r="E342" s="1" t="s">
        <v>9</v>
      </c>
      <c r="F342">
        <v>4158</v>
      </c>
      <c r="G342" s="1" t="s">
        <v>357</v>
      </c>
      <c r="H342" s="1">
        <v>2894490</v>
      </c>
      <c r="I342" s="1">
        <v>2880219.26</v>
      </c>
      <c r="J342" s="1">
        <v>0</v>
      </c>
      <c r="K342" s="1">
        <f>_SELECT_u_city_AS_Город_TO_CHAR_f_rental_start_YYYY_MM_AS_Месяц__202609232054[[#This Row],[Чистая Выручка]] * (1 + $B$4)</f>
        <v>2880219.26</v>
      </c>
      <c r="L342" s="1">
        <f>_SELECT_u_city_AS_Город_TO_CHAR_f_rental_start_YYYY_MM_AS_Месяц__202609232054[[#This Row],[Расходы на Ремонт]] * (1 + $B$5)</f>
        <v>0</v>
      </c>
      <c r="M34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2880219.26</v>
      </c>
    </row>
    <row r="343" spans="3:13" x14ac:dyDescent="0.25">
      <c r="C343" s="1" t="s">
        <v>8</v>
      </c>
      <c r="D343" s="2">
        <v>45809</v>
      </c>
      <c r="E343" s="1" t="s">
        <v>11</v>
      </c>
      <c r="F343">
        <v>4177</v>
      </c>
      <c r="G343" s="1" t="s">
        <v>358</v>
      </c>
      <c r="H343" s="1">
        <v>2893263.5</v>
      </c>
      <c r="I343" s="1">
        <v>2879927.35</v>
      </c>
      <c r="J343" s="1">
        <v>142831.45000000001</v>
      </c>
      <c r="K343" s="1">
        <f>_SELECT_u_city_AS_Город_TO_CHAR_f_rental_start_YYYY_MM_AS_Месяц__202609232054[[#This Row],[Чистая Выручка]] * (1 + $B$4)</f>
        <v>2879927.35</v>
      </c>
      <c r="L343" s="1">
        <f>_SELECT_u_city_AS_Город_TO_CHAR_f_rental_start_YYYY_MM_AS_Месяц__202609232054[[#This Row],[Расходы на Ремонт]] * (1 + $B$5)</f>
        <v>142831.45000000001</v>
      </c>
      <c r="M34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2737095.9</v>
      </c>
    </row>
    <row r="344" spans="3:13" x14ac:dyDescent="0.25">
      <c r="C344" s="1" t="s">
        <v>8</v>
      </c>
      <c r="D344" s="2">
        <v>45809</v>
      </c>
      <c r="E344" s="1" t="s">
        <v>13</v>
      </c>
      <c r="F344">
        <v>4292</v>
      </c>
      <c r="G344" s="1" t="s">
        <v>359</v>
      </c>
      <c r="H344" s="1">
        <v>3015315</v>
      </c>
      <c r="I344" s="1">
        <v>3000637.73</v>
      </c>
      <c r="J344" s="1">
        <v>71253.084000000003</v>
      </c>
      <c r="K344" s="1">
        <f>_SELECT_u_city_AS_Город_TO_CHAR_f_rental_start_YYYY_MM_AS_Месяц__202609232054[[#This Row],[Чистая Выручка]] * (1 + $B$4)</f>
        <v>3000637.73</v>
      </c>
      <c r="L344" s="1">
        <f>_SELECT_u_city_AS_Город_TO_CHAR_f_rental_start_YYYY_MM_AS_Месяц__202609232054[[#This Row],[Расходы на Ремонт]] * (1 + $B$5)</f>
        <v>71253.084000000003</v>
      </c>
      <c r="M34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2929384.6460000002</v>
      </c>
    </row>
    <row r="345" spans="3:13" x14ac:dyDescent="0.25">
      <c r="C345" s="1" t="s">
        <v>8</v>
      </c>
      <c r="D345" s="2">
        <v>45809</v>
      </c>
      <c r="E345" s="1" t="s">
        <v>15</v>
      </c>
      <c r="F345">
        <v>4037</v>
      </c>
      <c r="G345" s="1" t="s">
        <v>360</v>
      </c>
      <c r="H345" s="1">
        <v>2842654</v>
      </c>
      <c r="I345" s="1">
        <v>2829078.17</v>
      </c>
      <c r="J345" s="1">
        <v>50743.682999999997</v>
      </c>
      <c r="K345" s="1">
        <f>_SELECT_u_city_AS_Город_TO_CHAR_f_rental_start_YYYY_MM_AS_Месяц__202609232054[[#This Row],[Чистая Выручка]] * (1 + $B$4)</f>
        <v>2829078.17</v>
      </c>
      <c r="L345" s="1">
        <f>_SELECT_u_city_AS_Город_TO_CHAR_f_rental_start_YYYY_MM_AS_Месяц__202609232054[[#This Row],[Расходы на Ремонт]] * (1 + $B$5)</f>
        <v>50743.682999999997</v>
      </c>
      <c r="M34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2778334.4869999997</v>
      </c>
    </row>
    <row r="346" spans="3:13" x14ac:dyDescent="0.25">
      <c r="C346" s="1" t="s">
        <v>17</v>
      </c>
      <c r="D346" s="2">
        <v>45809</v>
      </c>
      <c r="E346" s="1" t="s">
        <v>9</v>
      </c>
      <c r="F346">
        <v>4283</v>
      </c>
      <c r="G346" s="1" t="s">
        <v>361</v>
      </c>
      <c r="H346" s="1">
        <v>2990681</v>
      </c>
      <c r="I346" s="1">
        <v>2975897.19</v>
      </c>
      <c r="J346" s="1">
        <v>0</v>
      </c>
      <c r="K346" s="1">
        <f>_SELECT_u_city_AS_Город_TO_CHAR_f_rental_start_YYYY_MM_AS_Месяц__202609232054[[#This Row],[Чистая Выручка]] * (1 + $B$4)</f>
        <v>2975897.19</v>
      </c>
      <c r="L346" s="1">
        <f>_SELECT_u_city_AS_Город_TO_CHAR_f_rental_start_YYYY_MM_AS_Месяц__202609232054[[#This Row],[Расходы на Ремонт]] * (1 + $B$5)</f>
        <v>0</v>
      </c>
      <c r="M34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2975897.19</v>
      </c>
    </row>
    <row r="347" spans="3:13" x14ac:dyDescent="0.25">
      <c r="C347" s="1" t="s">
        <v>17</v>
      </c>
      <c r="D347" s="2">
        <v>45809</v>
      </c>
      <c r="E347" s="1" t="s">
        <v>11</v>
      </c>
      <c r="F347">
        <v>4262</v>
      </c>
      <c r="G347" s="1" t="s">
        <v>362</v>
      </c>
      <c r="H347" s="1">
        <v>2960768</v>
      </c>
      <c r="I347" s="1">
        <v>2946843.78</v>
      </c>
      <c r="J347" s="1">
        <v>145737.25</v>
      </c>
      <c r="K347" s="1">
        <f>_SELECT_u_city_AS_Город_TO_CHAR_f_rental_start_YYYY_MM_AS_Месяц__202609232054[[#This Row],[Чистая Выручка]] * (1 + $B$4)</f>
        <v>2946843.78</v>
      </c>
      <c r="L347" s="1">
        <f>_SELECT_u_city_AS_Город_TO_CHAR_f_rental_start_YYYY_MM_AS_Месяц__202609232054[[#This Row],[Расходы на Ремонт]] * (1 + $B$5)</f>
        <v>145737.25</v>
      </c>
      <c r="M34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2801106.53</v>
      </c>
    </row>
    <row r="348" spans="3:13" x14ac:dyDescent="0.25">
      <c r="C348" s="1" t="s">
        <v>17</v>
      </c>
      <c r="D348" s="2">
        <v>45809</v>
      </c>
      <c r="E348" s="1" t="s">
        <v>13</v>
      </c>
      <c r="F348">
        <v>4275</v>
      </c>
      <c r="G348" s="1" t="s">
        <v>363</v>
      </c>
      <c r="H348" s="1">
        <v>3021407.5</v>
      </c>
      <c r="I348" s="1">
        <v>3006033.58</v>
      </c>
      <c r="J348" s="1">
        <v>70969.644</v>
      </c>
      <c r="K348" s="1">
        <f>_SELECT_u_city_AS_Город_TO_CHAR_f_rental_start_YYYY_MM_AS_Месяц__202609232054[[#This Row],[Чистая Выручка]] * (1 + $B$4)</f>
        <v>3006033.58</v>
      </c>
      <c r="L348" s="1">
        <f>_SELECT_u_city_AS_Город_TO_CHAR_f_rental_start_YYYY_MM_AS_Месяц__202609232054[[#This Row],[Расходы на Ремонт]] * (1 + $B$5)</f>
        <v>70969.644</v>
      </c>
      <c r="M34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2935063.9360000002</v>
      </c>
    </row>
    <row r="349" spans="3:13" x14ac:dyDescent="0.25">
      <c r="C349" s="1" t="s">
        <v>17</v>
      </c>
      <c r="D349" s="2">
        <v>45809</v>
      </c>
      <c r="E349" s="1" t="s">
        <v>15</v>
      </c>
      <c r="F349">
        <v>4172</v>
      </c>
      <c r="G349" s="1" t="s">
        <v>364</v>
      </c>
      <c r="H349" s="1">
        <v>2889053</v>
      </c>
      <c r="I349" s="1">
        <v>2875702.94</v>
      </c>
      <c r="J349" s="1">
        <v>51362.864999999998</v>
      </c>
      <c r="K349" s="1">
        <f>_SELECT_u_city_AS_Город_TO_CHAR_f_rental_start_YYYY_MM_AS_Месяц__202609232054[[#This Row],[Чистая Выручка]] * (1 + $B$4)</f>
        <v>2875702.94</v>
      </c>
      <c r="L349" s="1">
        <f>_SELECT_u_city_AS_Город_TO_CHAR_f_rental_start_YYYY_MM_AS_Месяц__202609232054[[#This Row],[Расходы на Ремонт]] * (1 + $B$5)</f>
        <v>51362.864999999998</v>
      </c>
      <c r="M34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2824340.0749999997</v>
      </c>
    </row>
    <row r="350" spans="3:13" x14ac:dyDescent="0.25">
      <c r="C350" s="1" t="s">
        <v>22</v>
      </c>
      <c r="D350" s="2">
        <v>45809</v>
      </c>
      <c r="E350" s="1" t="s">
        <v>9</v>
      </c>
      <c r="F350">
        <v>4236</v>
      </c>
      <c r="G350" s="1" t="s">
        <v>365</v>
      </c>
      <c r="H350" s="1">
        <v>2929682</v>
      </c>
      <c r="I350" s="1">
        <v>2914879.31</v>
      </c>
      <c r="J350" s="1">
        <v>0</v>
      </c>
      <c r="K350" s="1">
        <f>_SELECT_u_city_AS_Город_TO_CHAR_f_rental_start_YYYY_MM_AS_Месяц__202609232054[[#This Row],[Чистая Выручка]] * (1 + $B$4)</f>
        <v>2914879.31</v>
      </c>
      <c r="L350" s="1">
        <f>_SELECT_u_city_AS_Город_TO_CHAR_f_rental_start_YYYY_MM_AS_Месяц__202609232054[[#This Row],[Расходы на Ремонт]] * (1 + $B$5)</f>
        <v>0</v>
      </c>
      <c r="M35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2914879.31</v>
      </c>
    </row>
    <row r="351" spans="3:13" x14ac:dyDescent="0.25">
      <c r="C351" s="1" t="s">
        <v>22</v>
      </c>
      <c r="D351" s="2">
        <v>45809</v>
      </c>
      <c r="E351" s="1" t="s">
        <v>11</v>
      </c>
      <c r="F351">
        <v>4227</v>
      </c>
      <c r="G351" s="1" t="s">
        <v>366</v>
      </c>
      <c r="H351" s="1">
        <v>2962932</v>
      </c>
      <c r="I351" s="1">
        <v>2948481.41</v>
      </c>
      <c r="J351" s="1">
        <v>144702.32500000001</v>
      </c>
      <c r="K351" s="1">
        <f>_SELECT_u_city_AS_Город_TO_CHAR_f_rental_start_YYYY_MM_AS_Месяц__202609232054[[#This Row],[Чистая Выручка]] * (1 + $B$4)</f>
        <v>2948481.41</v>
      </c>
      <c r="L351" s="1">
        <f>_SELECT_u_city_AS_Город_TO_CHAR_f_rental_start_YYYY_MM_AS_Месяц__202609232054[[#This Row],[Расходы на Ремонт]] * (1 + $B$5)</f>
        <v>144702.32500000001</v>
      </c>
      <c r="M35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2803779.085</v>
      </c>
    </row>
    <row r="352" spans="3:13" x14ac:dyDescent="0.25">
      <c r="C352" s="1" t="s">
        <v>22</v>
      </c>
      <c r="D352" s="2">
        <v>45809</v>
      </c>
      <c r="E352" s="1" t="s">
        <v>13</v>
      </c>
      <c r="F352">
        <v>4190</v>
      </c>
      <c r="G352" s="1" t="s">
        <v>367</v>
      </c>
      <c r="H352" s="1">
        <v>2908976.5</v>
      </c>
      <c r="I352" s="1">
        <v>2895044.04</v>
      </c>
      <c r="J352" s="1">
        <v>68589.66</v>
      </c>
      <c r="K352" s="1">
        <f>_SELECT_u_city_AS_Город_TO_CHAR_f_rental_start_YYYY_MM_AS_Месяц__202609232054[[#This Row],[Чистая Выручка]] * (1 + $B$4)</f>
        <v>2895044.04</v>
      </c>
      <c r="L352" s="1">
        <f>_SELECT_u_city_AS_Город_TO_CHAR_f_rental_start_YYYY_MM_AS_Месяц__202609232054[[#This Row],[Расходы на Ремонт]] * (1 + $B$5)</f>
        <v>68589.66</v>
      </c>
      <c r="M35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2826454.38</v>
      </c>
    </row>
    <row r="353" spans="3:13" x14ac:dyDescent="0.25">
      <c r="C353" s="1" t="s">
        <v>22</v>
      </c>
      <c r="D353" s="2">
        <v>45809</v>
      </c>
      <c r="E353" s="1" t="s">
        <v>15</v>
      </c>
      <c r="F353">
        <v>4181</v>
      </c>
      <c r="G353" s="1" t="s">
        <v>368</v>
      </c>
      <c r="H353" s="1">
        <v>2939138.5</v>
      </c>
      <c r="I353" s="1">
        <v>2925378.98</v>
      </c>
      <c r="J353" s="1">
        <v>51788.25</v>
      </c>
      <c r="K353" s="1">
        <f>_SELECT_u_city_AS_Город_TO_CHAR_f_rental_start_YYYY_MM_AS_Месяц__202609232054[[#This Row],[Чистая Выручка]] * (1 + $B$4)</f>
        <v>2925378.98</v>
      </c>
      <c r="L353" s="1">
        <f>_SELECT_u_city_AS_Город_TO_CHAR_f_rental_start_YYYY_MM_AS_Месяц__202609232054[[#This Row],[Расходы на Ремонт]] * (1 + $B$5)</f>
        <v>51788.25</v>
      </c>
      <c r="M35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2873590.73</v>
      </c>
    </row>
    <row r="354" spans="3:13" x14ac:dyDescent="0.25">
      <c r="C354" s="1" t="s">
        <v>27</v>
      </c>
      <c r="D354" s="2">
        <v>45809</v>
      </c>
      <c r="E354" s="1" t="s">
        <v>9</v>
      </c>
      <c r="F354">
        <v>4130</v>
      </c>
      <c r="G354" s="1" t="s">
        <v>369</v>
      </c>
      <c r="H354" s="1">
        <v>2905124</v>
      </c>
      <c r="I354" s="1">
        <v>2891915.26</v>
      </c>
      <c r="J354" s="1">
        <v>0</v>
      </c>
      <c r="K354" s="1">
        <f>_SELECT_u_city_AS_Город_TO_CHAR_f_rental_start_YYYY_MM_AS_Месяц__202609232054[[#This Row],[Чистая Выручка]] * (1 + $B$4)</f>
        <v>2891915.26</v>
      </c>
      <c r="L354" s="1">
        <f>_SELECT_u_city_AS_Город_TO_CHAR_f_rental_start_YYYY_MM_AS_Месяц__202609232054[[#This Row],[Расходы на Ремонт]] * (1 + $B$5)</f>
        <v>0</v>
      </c>
      <c r="M35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2891915.26</v>
      </c>
    </row>
    <row r="355" spans="3:13" x14ac:dyDescent="0.25">
      <c r="C355" s="1" t="s">
        <v>27</v>
      </c>
      <c r="D355" s="2">
        <v>45809</v>
      </c>
      <c r="E355" s="1" t="s">
        <v>11</v>
      </c>
      <c r="F355">
        <v>4038</v>
      </c>
      <c r="G355" s="1" t="s">
        <v>370</v>
      </c>
      <c r="H355" s="1">
        <v>2826680</v>
      </c>
      <c r="I355" s="1">
        <v>2811697.63</v>
      </c>
      <c r="J355" s="1">
        <v>139681.125</v>
      </c>
      <c r="K355" s="1">
        <f>_SELECT_u_city_AS_Город_TO_CHAR_f_rental_start_YYYY_MM_AS_Месяц__202609232054[[#This Row],[Чистая Выручка]] * (1 + $B$4)</f>
        <v>2811697.63</v>
      </c>
      <c r="L355" s="1">
        <f>_SELECT_u_city_AS_Город_TO_CHAR_f_rental_start_YYYY_MM_AS_Месяц__202609232054[[#This Row],[Расходы на Ремонт]] * (1 + $B$5)</f>
        <v>139681.125</v>
      </c>
      <c r="M35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2672016.5049999999</v>
      </c>
    </row>
    <row r="356" spans="3:13" x14ac:dyDescent="0.25">
      <c r="C356" s="1" t="s">
        <v>27</v>
      </c>
      <c r="D356" s="2">
        <v>45809</v>
      </c>
      <c r="E356" s="1" t="s">
        <v>13</v>
      </c>
      <c r="F356">
        <v>4289</v>
      </c>
      <c r="G356" s="1" t="s">
        <v>371</v>
      </c>
      <c r="H356" s="1">
        <v>2980180.5</v>
      </c>
      <c r="I356" s="1">
        <v>2965715.21</v>
      </c>
      <c r="J356" s="1">
        <v>69713.148000000001</v>
      </c>
      <c r="K356" s="1">
        <f>_SELECT_u_city_AS_Город_TO_CHAR_f_rental_start_YYYY_MM_AS_Месяц__202609232054[[#This Row],[Чистая Выручка]] * (1 + $B$4)</f>
        <v>2965715.21</v>
      </c>
      <c r="L356" s="1">
        <f>_SELECT_u_city_AS_Город_TO_CHAR_f_rental_start_YYYY_MM_AS_Месяц__202609232054[[#This Row],[Расходы на Ремонт]] * (1 + $B$5)</f>
        <v>69713.148000000001</v>
      </c>
      <c r="M35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2896002.0619999999</v>
      </c>
    </row>
    <row r="357" spans="3:13" x14ac:dyDescent="0.25">
      <c r="C357" s="1" t="s">
        <v>27</v>
      </c>
      <c r="D357" s="2">
        <v>45809</v>
      </c>
      <c r="E357" s="1" t="s">
        <v>15</v>
      </c>
      <c r="F357">
        <v>4055</v>
      </c>
      <c r="G357" s="1" t="s">
        <v>372</v>
      </c>
      <c r="H357" s="1">
        <v>2846948</v>
      </c>
      <c r="I357" s="1">
        <v>2833156.5</v>
      </c>
      <c r="J357" s="1">
        <v>49052.322</v>
      </c>
      <c r="K357" s="1">
        <f>_SELECT_u_city_AS_Город_TO_CHAR_f_rental_start_YYYY_MM_AS_Месяц__202609232054[[#This Row],[Чистая Выручка]] * (1 + $B$4)</f>
        <v>2833156.5</v>
      </c>
      <c r="L357" s="1">
        <f>_SELECT_u_city_AS_Город_TO_CHAR_f_rental_start_YYYY_MM_AS_Месяц__202609232054[[#This Row],[Расходы на Ремонт]] * (1 + $B$5)</f>
        <v>49052.322</v>
      </c>
      <c r="M35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2784104.1779999998</v>
      </c>
    </row>
    <row r="358" spans="3:13" x14ac:dyDescent="0.25">
      <c r="C358" s="1" t="s">
        <v>32</v>
      </c>
      <c r="D358" s="2">
        <v>45809</v>
      </c>
      <c r="E358" s="1" t="s">
        <v>9</v>
      </c>
      <c r="F358">
        <v>4138</v>
      </c>
      <c r="G358" s="1" t="s">
        <v>373</v>
      </c>
      <c r="H358" s="1">
        <v>2915103.5</v>
      </c>
      <c r="I358" s="1">
        <v>2901557.42</v>
      </c>
      <c r="J358" s="1">
        <v>0</v>
      </c>
      <c r="K358" s="1">
        <f>_SELECT_u_city_AS_Город_TO_CHAR_f_rental_start_YYYY_MM_AS_Месяц__202609232054[[#This Row],[Чистая Выручка]] * (1 + $B$4)</f>
        <v>2901557.42</v>
      </c>
      <c r="L358" s="1">
        <f>_SELECT_u_city_AS_Город_TO_CHAR_f_rental_start_YYYY_MM_AS_Месяц__202609232054[[#This Row],[Расходы на Ремонт]] * (1 + $B$5)</f>
        <v>0</v>
      </c>
      <c r="M35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2901557.42</v>
      </c>
    </row>
    <row r="359" spans="3:13" x14ac:dyDescent="0.25">
      <c r="C359" s="1" t="s">
        <v>32</v>
      </c>
      <c r="D359" s="2">
        <v>45809</v>
      </c>
      <c r="E359" s="1" t="s">
        <v>11</v>
      </c>
      <c r="F359">
        <v>4175</v>
      </c>
      <c r="G359" s="1" t="s">
        <v>374</v>
      </c>
      <c r="H359" s="1">
        <v>2935102.5</v>
      </c>
      <c r="I359" s="1">
        <v>2919740.48</v>
      </c>
      <c r="J359" s="1">
        <v>144338.42499999999</v>
      </c>
      <c r="K359" s="1">
        <f>_SELECT_u_city_AS_Город_TO_CHAR_f_rental_start_YYYY_MM_AS_Месяц__202609232054[[#This Row],[Чистая Выручка]] * (1 + $B$4)</f>
        <v>2919740.48</v>
      </c>
      <c r="L359" s="1">
        <f>_SELECT_u_city_AS_Город_TO_CHAR_f_rental_start_YYYY_MM_AS_Месяц__202609232054[[#This Row],[Расходы на Ремонт]] * (1 + $B$5)</f>
        <v>144338.42499999999</v>
      </c>
      <c r="M35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2775402.0550000002</v>
      </c>
    </row>
    <row r="360" spans="3:13" x14ac:dyDescent="0.25">
      <c r="C360" s="1" t="s">
        <v>32</v>
      </c>
      <c r="D360" s="2">
        <v>45809</v>
      </c>
      <c r="E360" s="1" t="s">
        <v>13</v>
      </c>
      <c r="F360">
        <v>4262</v>
      </c>
      <c r="G360" s="1" t="s">
        <v>375</v>
      </c>
      <c r="H360" s="1">
        <v>2944061.5</v>
      </c>
      <c r="I360" s="1">
        <v>2929512.47</v>
      </c>
      <c r="J360" s="1">
        <v>69386.063999999998</v>
      </c>
      <c r="K360" s="1">
        <f>_SELECT_u_city_AS_Город_TO_CHAR_f_rental_start_YYYY_MM_AS_Месяц__202609232054[[#This Row],[Чистая Выручка]] * (1 + $B$4)</f>
        <v>2929512.47</v>
      </c>
      <c r="L360" s="1">
        <f>_SELECT_u_city_AS_Город_TO_CHAR_f_rental_start_YYYY_MM_AS_Месяц__202609232054[[#This Row],[Расходы на Ремонт]] * (1 + $B$5)</f>
        <v>69386.063999999998</v>
      </c>
      <c r="M36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2860126.4060000004</v>
      </c>
    </row>
    <row r="361" spans="3:13" x14ac:dyDescent="0.25">
      <c r="C361" s="1" t="s">
        <v>32</v>
      </c>
      <c r="D361" s="2">
        <v>45809</v>
      </c>
      <c r="E361" s="1" t="s">
        <v>15</v>
      </c>
      <c r="F361">
        <v>4036</v>
      </c>
      <c r="G361" s="1" t="s">
        <v>376</v>
      </c>
      <c r="H361" s="1">
        <v>2817357</v>
      </c>
      <c r="I361" s="1">
        <v>2804084.96</v>
      </c>
      <c r="J361" s="1">
        <v>49852.421999999999</v>
      </c>
      <c r="K361" s="1">
        <f>_SELECT_u_city_AS_Город_TO_CHAR_f_rental_start_YYYY_MM_AS_Месяц__202609232054[[#This Row],[Чистая Выручка]] * (1 + $B$4)</f>
        <v>2804084.96</v>
      </c>
      <c r="L361" s="1">
        <f>_SELECT_u_city_AS_Город_TO_CHAR_f_rental_start_YYYY_MM_AS_Месяц__202609232054[[#This Row],[Расходы на Ремонт]] * (1 + $B$5)</f>
        <v>49852.421999999999</v>
      </c>
      <c r="M36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2754232.5380000002</v>
      </c>
    </row>
    <row r="362" spans="3:13" x14ac:dyDescent="0.25">
      <c r="C362" s="1" t="s">
        <v>8</v>
      </c>
      <c r="D362" s="2">
        <v>45839</v>
      </c>
      <c r="E362" s="1" t="s">
        <v>9</v>
      </c>
      <c r="F362">
        <v>4294</v>
      </c>
      <c r="G362" s="1" t="s">
        <v>377</v>
      </c>
      <c r="H362" s="1">
        <v>2999154.5</v>
      </c>
      <c r="I362" s="1">
        <v>2984174.93</v>
      </c>
      <c r="J362" s="1">
        <v>0</v>
      </c>
      <c r="K362" s="1">
        <f>_SELECT_u_city_AS_Город_TO_CHAR_f_rental_start_YYYY_MM_AS_Месяц__202609232054[[#This Row],[Чистая Выручка]] * (1 + $B$4)</f>
        <v>2984174.93</v>
      </c>
      <c r="L362" s="1">
        <f>_SELECT_u_city_AS_Город_TO_CHAR_f_rental_start_YYYY_MM_AS_Месяц__202609232054[[#This Row],[Расходы на Ремонт]] * (1 + $B$5)</f>
        <v>0</v>
      </c>
      <c r="M36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2984174.93</v>
      </c>
    </row>
    <row r="363" spans="3:13" x14ac:dyDescent="0.25">
      <c r="C363" s="1" t="s">
        <v>8</v>
      </c>
      <c r="D363" s="2">
        <v>45839</v>
      </c>
      <c r="E363" s="1" t="s">
        <v>11</v>
      </c>
      <c r="F363">
        <v>4159</v>
      </c>
      <c r="G363" s="1" t="s">
        <v>378</v>
      </c>
      <c r="H363" s="1">
        <v>2904464.5</v>
      </c>
      <c r="I363" s="1">
        <v>2890218.78</v>
      </c>
      <c r="J363" s="1">
        <v>140545.20000000001</v>
      </c>
      <c r="K363" s="1">
        <f>_SELECT_u_city_AS_Город_TO_CHAR_f_rental_start_YYYY_MM_AS_Месяц__202609232054[[#This Row],[Чистая Выручка]] * (1 + $B$4)</f>
        <v>2890218.78</v>
      </c>
      <c r="L363" s="1">
        <f>_SELECT_u_city_AS_Город_TO_CHAR_f_rental_start_YYYY_MM_AS_Месяц__202609232054[[#This Row],[Расходы на Ремонт]] * (1 + $B$5)</f>
        <v>140545.20000000001</v>
      </c>
      <c r="M36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2749673.5799999996</v>
      </c>
    </row>
    <row r="364" spans="3:13" x14ac:dyDescent="0.25">
      <c r="C364" s="1" t="s">
        <v>8</v>
      </c>
      <c r="D364" s="2">
        <v>45839</v>
      </c>
      <c r="E364" s="1" t="s">
        <v>13</v>
      </c>
      <c r="F364">
        <v>4176</v>
      </c>
      <c r="G364" s="1" t="s">
        <v>379</v>
      </c>
      <c r="H364" s="1">
        <v>2938515</v>
      </c>
      <c r="I364" s="1">
        <v>2924286.26</v>
      </c>
      <c r="J364" s="1">
        <v>70017.096000000005</v>
      </c>
      <c r="K364" s="1">
        <f>_SELECT_u_city_AS_Город_TO_CHAR_f_rental_start_YYYY_MM_AS_Месяц__202609232054[[#This Row],[Чистая Выручка]] * (1 + $B$4)</f>
        <v>2924286.26</v>
      </c>
      <c r="L364" s="1">
        <f>_SELECT_u_city_AS_Город_TO_CHAR_f_rental_start_YYYY_MM_AS_Месяц__202609232054[[#This Row],[Расходы на Ремонт]] * (1 + $B$5)</f>
        <v>70017.096000000005</v>
      </c>
      <c r="M36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2854269.1639999999</v>
      </c>
    </row>
    <row r="365" spans="3:13" x14ac:dyDescent="0.25">
      <c r="C365" s="1" t="s">
        <v>8</v>
      </c>
      <c r="D365" s="2">
        <v>45839</v>
      </c>
      <c r="E365" s="1" t="s">
        <v>15</v>
      </c>
      <c r="F365">
        <v>4021</v>
      </c>
      <c r="G365" s="1" t="s">
        <v>380</v>
      </c>
      <c r="H365" s="1">
        <v>2813442</v>
      </c>
      <c r="I365" s="1">
        <v>2800013.58</v>
      </c>
      <c r="J365" s="1">
        <v>49272.983999999997</v>
      </c>
      <c r="K365" s="1">
        <f>_SELECT_u_city_AS_Город_TO_CHAR_f_rental_start_YYYY_MM_AS_Месяц__202609232054[[#This Row],[Чистая Выручка]] * (1 + $B$4)</f>
        <v>2800013.58</v>
      </c>
      <c r="L365" s="1">
        <f>_SELECT_u_city_AS_Город_TO_CHAR_f_rental_start_YYYY_MM_AS_Месяц__202609232054[[#This Row],[Расходы на Ремонт]] * (1 + $B$5)</f>
        <v>49272.983999999997</v>
      </c>
      <c r="M36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2750740.5959999999</v>
      </c>
    </row>
    <row r="366" spans="3:13" x14ac:dyDescent="0.25">
      <c r="C366" s="1" t="s">
        <v>17</v>
      </c>
      <c r="D366" s="2">
        <v>45839</v>
      </c>
      <c r="E366" s="1" t="s">
        <v>9</v>
      </c>
      <c r="F366">
        <v>4122</v>
      </c>
      <c r="G366" s="1" t="s">
        <v>381</v>
      </c>
      <c r="H366" s="1">
        <v>2840894.5</v>
      </c>
      <c r="I366" s="1">
        <v>2827340.17</v>
      </c>
      <c r="J366" s="1">
        <v>0</v>
      </c>
      <c r="K366" s="1">
        <f>_SELECT_u_city_AS_Город_TO_CHAR_f_rental_start_YYYY_MM_AS_Месяц__202609232054[[#This Row],[Чистая Выручка]] * (1 + $B$4)</f>
        <v>2827340.17</v>
      </c>
      <c r="L366" s="1">
        <f>_SELECT_u_city_AS_Город_TO_CHAR_f_rental_start_YYYY_MM_AS_Месяц__202609232054[[#This Row],[Расходы на Ремонт]] * (1 + $B$5)</f>
        <v>0</v>
      </c>
      <c r="M36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2827340.17</v>
      </c>
    </row>
    <row r="367" spans="3:13" x14ac:dyDescent="0.25">
      <c r="C367" s="1" t="s">
        <v>17</v>
      </c>
      <c r="D367" s="2">
        <v>45839</v>
      </c>
      <c r="E367" s="1" t="s">
        <v>11</v>
      </c>
      <c r="F367">
        <v>4170</v>
      </c>
      <c r="G367" s="1" t="s">
        <v>382</v>
      </c>
      <c r="H367" s="1">
        <v>2917191</v>
      </c>
      <c r="I367" s="1">
        <v>2903059.5</v>
      </c>
      <c r="J367" s="1">
        <v>142347.20000000001</v>
      </c>
      <c r="K367" s="1">
        <f>_SELECT_u_city_AS_Город_TO_CHAR_f_rental_start_YYYY_MM_AS_Месяц__202609232054[[#This Row],[Чистая Выручка]] * (1 + $B$4)</f>
        <v>2903059.5</v>
      </c>
      <c r="L367" s="1">
        <f>_SELECT_u_city_AS_Город_TO_CHAR_f_rental_start_YYYY_MM_AS_Месяц__202609232054[[#This Row],[Расходы на Ремонт]] * (1 + $B$5)</f>
        <v>142347.20000000001</v>
      </c>
      <c r="M36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2760712.3</v>
      </c>
    </row>
    <row r="368" spans="3:13" x14ac:dyDescent="0.25">
      <c r="C368" s="1" t="s">
        <v>17</v>
      </c>
      <c r="D368" s="2">
        <v>45839</v>
      </c>
      <c r="E368" s="1" t="s">
        <v>13</v>
      </c>
      <c r="F368">
        <v>4232</v>
      </c>
      <c r="G368" s="1" t="s">
        <v>383</v>
      </c>
      <c r="H368" s="1">
        <v>2963478</v>
      </c>
      <c r="I368" s="1">
        <v>2950292.57</v>
      </c>
      <c r="J368" s="1">
        <v>69110.172000000006</v>
      </c>
      <c r="K368" s="1">
        <f>_SELECT_u_city_AS_Город_TO_CHAR_f_rental_start_YYYY_MM_AS_Месяц__202609232054[[#This Row],[Чистая Выручка]] * (1 + $B$4)</f>
        <v>2950292.57</v>
      </c>
      <c r="L368" s="1">
        <f>_SELECT_u_city_AS_Город_TO_CHAR_f_rental_start_YYYY_MM_AS_Месяц__202609232054[[#This Row],[Расходы на Ремонт]] * (1 + $B$5)</f>
        <v>69110.172000000006</v>
      </c>
      <c r="M36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2881182.398</v>
      </c>
    </row>
    <row r="369" spans="3:13" x14ac:dyDescent="0.25">
      <c r="C369" s="1" t="s">
        <v>17</v>
      </c>
      <c r="D369" s="2">
        <v>45839</v>
      </c>
      <c r="E369" s="1" t="s">
        <v>15</v>
      </c>
      <c r="F369">
        <v>4069</v>
      </c>
      <c r="G369" s="1" t="s">
        <v>384</v>
      </c>
      <c r="H369" s="1">
        <v>2841124.5</v>
      </c>
      <c r="I369" s="1">
        <v>2828185.9</v>
      </c>
      <c r="J369" s="1">
        <v>49780.269</v>
      </c>
      <c r="K369" s="1">
        <f>_SELECT_u_city_AS_Город_TO_CHAR_f_rental_start_YYYY_MM_AS_Месяц__202609232054[[#This Row],[Чистая Выручка]] * (1 + $B$4)</f>
        <v>2828185.9</v>
      </c>
      <c r="L369" s="1">
        <f>_SELECT_u_city_AS_Город_TO_CHAR_f_rental_start_YYYY_MM_AS_Месяц__202609232054[[#This Row],[Расходы на Ремонт]] * (1 + $B$5)</f>
        <v>49780.269</v>
      </c>
      <c r="M36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2778405.6310000001</v>
      </c>
    </row>
    <row r="370" spans="3:13" x14ac:dyDescent="0.25">
      <c r="C370" s="1" t="s">
        <v>22</v>
      </c>
      <c r="D370" s="2">
        <v>45839</v>
      </c>
      <c r="E370" s="1" t="s">
        <v>9</v>
      </c>
      <c r="F370">
        <v>4239</v>
      </c>
      <c r="G370" s="1" t="s">
        <v>385</v>
      </c>
      <c r="H370" s="1">
        <v>2988795.5</v>
      </c>
      <c r="I370" s="1">
        <v>2975147.94</v>
      </c>
      <c r="J370" s="1">
        <v>0</v>
      </c>
      <c r="K370" s="1">
        <f>_SELECT_u_city_AS_Город_TO_CHAR_f_rental_start_YYYY_MM_AS_Месяц__202609232054[[#This Row],[Чистая Выручка]] * (1 + $B$4)</f>
        <v>2975147.94</v>
      </c>
      <c r="L370" s="1">
        <f>_SELECT_u_city_AS_Город_TO_CHAR_f_rental_start_YYYY_MM_AS_Месяц__202609232054[[#This Row],[Расходы на Ремонт]] * (1 + $B$5)</f>
        <v>0</v>
      </c>
      <c r="M37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2975147.94</v>
      </c>
    </row>
    <row r="371" spans="3:13" x14ac:dyDescent="0.25">
      <c r="C371" s="1" t="s">
        <v>22</v>
      </c>
      <c r="D371" s="2">
        <v>45839</v>
      </c>
      <c r="E371" s="1" t="s">
        <v>11</v>
      </c>
      <c r="F371">
        <v>4208</v>
      </c>
      <c r="G371" s="1" t="s">
        <v>386</v>
      </c>
      <c r="H371" s="1">
        <v>2936424.5</v>
      </c>
      <c r="I371" s="1">
        <v>2923345.24</v>
      </c>
      <c r="J371" s="1">
        <v>143791.35</v>
      </c>
      <c r="K371" s="1">
        <f>_SELECT_u_city_AS_Город_TO_CHAR_f_rental_start_YYYY_MM_AS_Месяц__202609232054[[#This Row],[Чистая Выручка]] * (1 + $B$4)</f>
        <v>2923345.24</v>
      </c>
      <c r="L371" s="1">
        <f>_SELECT_u_city_AS_Город_TO_CHAR_f_rental_start_YYYY_MM_AS_Месяц__202609232054[[#This Row],[Расходы на Ремонт]] * (1 + $B$5)</f>
        <v>143791.35</v>
      </c>
      <c r="M37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2779553.89</v>
      </c>
    </row>
    <row r="372" spans="3:13" x14ac:dyDescent="0.25">
      <c r="C372" s="1" t="s">
        <v>22</v>
      </c>
      <c r="D372" s="2">
        <v>45839</v>
      </c>
      <c r="E372" s="1" t="s">
        <v>13</v>
      </c>
      <c r="F372">
        <v>4254</v>
      </c>
      <c r="G372" s="1" t="s">
        <v>387</v>
      </c>
      <c r="H372" s="1">
        <v>2988559</v>
      </c>
      <c r="I372" s="1">
        <v>2974389.48</v>
      </c>
      <c r="J372" s="1">
        <v>70233.899999999994</v>
      </c>
      <c r="K372" s="1">
        <f>_SELECT_u_city_AS_Город_TO_CHAR_f_rental_start_YYYY_MM_AS_Месяц__202609232054[[#This Row],[Чистая Выручка]] * (1 + $B$4)</f>
        <v>2974389.48</v>
      </c>
      <c r="L372" s="1">
        <f>_SELECT_u_city_AS_Город_TO_CHAR_f_rental_start_YYYY_MM_AS_Месяц__202609232054[[#This Row],[Расходы на Ремонт]] * (1 + $B$5)</f>
        <v>70233.899999999994</v>
      </c>
      <c r="M37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2904155.58</v>
      </c>
    </row>
    <row r="373" spans="3:13" x14ac:dyDescent="0.25">
      <c r="C373" s="1" t="s">
        <v>22</v>
      </c>
      <c r="D373" s="2">
        <v>45839</v>
      </c>
      <c r="E373" s="1" t="s">
        <v>15</v>
      </c>
      <c r="F373">
        <v>4280</v>
      </c>
      <c r="G373" s="1" t="s">
        <v>388</v>
      </c>
      <c r="H373" s="1">
        <v>2960688</v>
      </c>
      <c r="I373" s="1">
        <v>2945968.28</v>
      </c>
      <c r="J373" s="1">
        <v>51906.231</v>
      </c>
      <c r="K373" s="1">
        <f>_SELECT_u_city_AS_Город_TO_CHAR_f_rental_start_YYYY_MM_AS_Месяц__202609232054[[#This Row],[Чистая Выручка]] * (1 + $B$4)</f>
        <v>2945968.28</v>
      </c>
      <c r="L373" s="1">
        <f>_SELECT_u_city_AS_Город_TO_CHAR_f_rental_start_YYYY_MM_AS_Месяц__202609232054[[#This Row],[Расходы на Ремонт]] * (1 + $B$5)</f>
        <v>51906.231</v>
      </c>
      <c r="M37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2894062.0489999996</v>
      </c>
    </row>
    <row r="374" spans="3:13" x14ac:dyDescent="0.25">
      <c r="C374" s="1" t="s">
        <v>27</v>
      </c>
      <c r="D374" s="2">
        <v>45839</v>
      </c>
      <c r="E374" s="1" t="s">
        <v>9</v>
      </c>
      <c r="F374">
        <v>4099</v>
      </c>
      <c r="G374" s="1" t="s">
        <v>389</v>
      </c>
      <c r="H374" s="1">
        <v>2871760</v>
      </c>
      <c r="I374" s="1">
        <v>2858978.35</v>
      </c>
      <c r="J374" s="1">
        <v>0</v>
      </c>
      <c r="K374" s="1">
        <f>_SELECT_u_city_AS_Город_TO_CHAR_f_rental_start_YYYY_MM_AS_Месяц__202609232054[[#This Row],[Чистая Выручка]] * (1 + $B$4)</f>
        <v>2858978.35</v>
      </c>
      <c r="L374" s="1">
        <f>_SELECT_u_city_AS_Город_TO_CHAR_f_rental_start_YYYY_MM_AS_Месяц__202609232054[[#This Row],[Расходы на Ремонт]] * (1 + $B$5)</f>
        <v>0</v>
      </c>
      <c r="M37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2858978.35</v>
      </c>
    </row>
    <row r="375" spans="3:13" x14ac:dyDescent="0.25">
      <c r="C375" s="1" t="s">
        <v>27</v>
      </c>
      <c r="D375" s="2">
        <v>45839</v>
      </c>
      <c r="E375" s="1" t="s">
        <v>11</v>
      </c>
      <c r="F375">
        <v>4057</v>
      </c>
      <c r="G375" s="1" t="s">
        <v>390</v>
      </c>
      <c r="H375" s="1">
        <v>2828136</v>
      </c>
      <c r="I375" s="1">
        <v>2814463.96</v>
      </c>
      <c r="J375" s="1">
        <v>136498.82500000001</v>
      </c>
      <c r="K375" s="1">
        <f>_SELECT_u_city_AS_Город_TO_CHAR_f_rental_start_YYYY_MM_AS_Месяц__202609232054[[#This Row],[Чистая Выручка]] * (1 + $B$4)</f>
        <v>2814463.96</v>
      </c>
      <c r="L375" s="1">
        <f>_SELECT_u_city_AS_Город_TO_CHAR_f_rental_start_YYYY_MM_AS_Месяц__202609232054[[#This Row],[Расходы на Ремонт]] * (1 + $B$5)</f>
        <v>136498.82500000001</v>
      </c>
      <c r="M37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2677965.1349999998</v>
      </c>
    </row>
    <row r="376" spans="3:13" x14ac:dyDescent="0.25">
      <c r="C376" s="1" t="s">
        <v>27</v>
      </c>
      <c r="D376" s="2">
        <v>45839</v>
      </c>
      <c r="E376" s="1" t="s">
        <v>13</v>
      </c>
      <c r="F376">
        <v>4193</v>
      </c>
      <c r="G376" s="1" t="s">
        <v>391</v>
      </c>
      <c r="H376" s="1">
        <v>2927546</v>
      </c>
      <c r="I376" s="1">
        <v>2914172.31</v>
      </c>
      <c r="J376" s="1">
        <v>67908.335999999996</v>
      </c>
      <c r="K376" s="1">
        <f>_SELECT_u_city_AS_Город_TO_CHAR_f_rental_start_YYYY_MM_AS_Месяц__202609232054[[#This Row],[Чистая Выручка]] * (1 + $B$4)</f>
        <v>2914172.31</v>
      </c>
      <c r="L376" s="1">
        <f>_SELECT_u_city_AS_Город_TO_CHAR_f_rental_start_YYYY_MM_AS_Месяц__202609232054[[#This Row],[Расходы на Ремонт]] * (1 + $B$5)</f>
        <v>67908.335999999996</v>
      </c>
      <c r="M37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2846263.9739999999</v>
      </c>
    </row>
    <row r="377" spans="3:13" x14ac:dyDescent="0.25">
      <c r="C377" s="1" t="s">
        <v>27</v>
      </c>
      <c r="D377" s="2">
        <v>45839</v>
      </c>
      <c r="E377" s="1" t="s">
        <v>15</v>
      </c>
      <c r="F377">
        <v>4091</v>
      </c>
      <c r="G377" s="1" t="s">
        <v>392</v>
      </c>
      <c r="H377" s="1">
        <v>2852746.5</v>
      </c>
      <c r="I377" s="1">
        <v>2839406.04</v>
      </c>
      <c r="J377" s="1">
        <v>50202.593999999997</v>
      </c>
      <c r="K377" s="1">
        <f>_SELECT_u_city_AS_Город_TO_CHAR_f_rental_start_YYYY_MM_AS_Месяц__202609232054[[#This Row],[Чистая Выручка]] * (1 + $B$4)</f>
        <v>2839406.04</v>
      </c>
      <c r="L377" s="1">
        <f>_SELECT_u_city_AS_Город_TO_CHAR_f_rental_start_YYYY_MM_AS_Месяц__202609232054[[#This Row],[Расходы на Ремонт]] * (1 + $B$5)</f>
        <v>50202.593999999997</v>
      </c>
      <c r="M37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2789203.446</v>
      </c>
    </row>
    <row r="378" spans="3:13" x14ac:dyDescent="0.25">
      <c r="C378" s="1" t="s">
        <v>32</v>
      </c>
      <c r="D378" s="2">
        <v>45839</v>
      </c>
      <c r="E378" s="1" t="s">
        <v>9</v>
      </c>
      <c r="F378">
        <v>4142</v>
      </c>
      <c r="G378" s="1" t="s">
        <v>393</v>
      </c>
      <c r="H378" s="1">
        <v>2867172.5</v>
      </c>
      <c r="I378" s="1">
        <v>2853790.69</v>
      </c>
      <c r="J378" s="1">
        <v>0</v>
      </c>
      <c r="K378" s="1">
        <f>_SELECT_u_city_AS_Город_TO_CHAR_f_rental_start_YYYY_MM_AS_Месяц__202609232054[[#This Row],[Чистая Выручка]] * (1 + $B$4)</f>
        <v>2853790.69</v>
      </c>
      <c r="L378" s="1">
        <f>_SELECT_u_city_AS_Город_TO_CHAR_f_rental_start_YYYY_MM_AS_Месяц__202609232054[[#This Row],[Расходы на Ремонт]] * (1 + $B$5)</f>
        <v>0</v>
      </c>
      <c r="M37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2853790.69</v>
      </c>
    </row>
    <row r="379" spans="3:13" x14ac:dyDescent="0.25">
      <c r="C379" s="1" t="s">
        <v>32</v>
      </c>
      <c r="D379" s="2">
        <v>45839</v>
      </c>
      <c r="E379" s="1" t="s">
        <v>11</v>
      </c>
      <c r="F379">
        <v>4095</v>
      </c>
      <c r="G379" s="1" t="s">
        <v>394</v>
      </c>
      <c r="H379" s="1">
        <v>2817515.5</v>
      </c>
      <c r="I379" s="1">
        <v>2804931.19</v>
      </c>
      <c r="J379" s="1">
        <v>138165.67499999999</v>
      </c>
      <c r="K379" s="1">
        <f>_SELECT_u_city_AS_Город_TO_CHAR_f_rental_start_YYYY_MM_AS_Месяц__202609232054[[#This Row],[Чистая Выручка]] * (1 + $B$4)</f>
        <v>2804931.19</v>
      </c>
      <c r="L379" s="1">
        <f>_SELECT_u_city_AS_Город_TO_CHAR_f_rental_start_YYYY_MM_AS_Месяц__202609232054[[#This Row],[Расходы на Ремонт]] * (1 + $B$5)</f>
        <v>138165.67499999999</v>
      </c>
      <c r="M37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2666765.5150000001</v>
      </c>
    </row>
    <row r="380" spans="3:13" x14ac:dyDescent="0.25">
      <c r="C380" s="1" t="s">
        <v>32</v>
      </c>
      <c r="D380" s="2">
        <v>45839</v>
      </c>
      <c r="E380" s="1" t="s">
        <v>13</v>
      </c>
      <c r="F380">
        <v>4085</v>
      </c>
      <c r="G380" s="1" t="s">
        <v>395</v>
      </c>
      <c r="H380" s="1">
        <v>2905224.5</v>
      </c>
      <c r="I380" s="1">
        <v>2890593.13</v>
      </c>
      <c r="J380" s="1">
        <v>67847.592000000004</v>
      </c>
      <c r="K380" s="1">
        <f>_SELECT_u_city_AS_Город_TO_CHAR_f_rental_start_YYYY_MM_AS_Месяц__202609232054[[#This Row],[Чистая Выручка]] * (1 + $B$4)</f>
        <v>2890593.13</v>
      </c>
      <c r="L380" s="1">
        <f>_SELECT_u_city_AS_Город_TO_CHAR_f_rental_start_YYYY_MM_AS_Месяц__202609232054[[#This Row],[Расходы на Ремонт]] * (1 + $B$5)</f>
        <v>67847.592000000004</v>
      </c>
      <c r="M38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2822745.5379999997</v>
      </c>
    </row>
    <row r="381" spans="3:13" x14ac:dyDescent="0.25">
      <c r="C381" s="1" t="s">
        <v>32</v>
      </c>
      <c r="D381" s="2">
        <v>45839</v>
      </c>
      <c r="E381" s="1" t="s">
        <v>15</v>
      </c>
      <c r="F381">
        <v>4090</v>
      </c>
      <c r="G381" s="1" t="s">
        <v>396</v>
      </c>
      <c r="H381" s="1">
        <v>2877679</v>
      </c>
      <c r="I381" s="1">
        <v>2864636.94</v>
      </c>
      <c r="J381" s="1">
        <v>50304.608999999997</v>
      </c>
      <c r="K381" s="1">
        <f>_SELECT_u_city_AS_Город_TO_CHAR_f_rental_start_YYYY_MM_AS_Месяц__202609232054[[#This Row],[Чистая Выручка]] * (1 + $B$4)</f>
        <v>2864636.94</v>
      </c>
      <c r="L381" s="1">
        <f>_SELECT_u_city_AS_Город_TO_CHAR_f_rental_start_YYYY_MM_AS_Месяц__202609232054[[#This Row],[Расходы на Ремонт]] * (1 + $B$5)</f>
        <v>50304.608999999997</v>
      </c>
      <c r="M38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2814332.3309999998</v>
      </c>
    </row>
    <row r="382" spans="3:13" x14ac:dyDescent="0.25">
      <c r="C382" s="1" t="s">
        <v>8</v>
      </c>
      <c r="D382" s="2">
        <v>45870</v>
      </c>
      <c r="E382" s="1" t="s">
        <v>9</v>
      </c>
      <c r="F382">
        <v>4246</v>
      </c>
      <c r="G382" s="1" t="s">
        <v>397</v>
      </c>
      <c r="H382" s="1">
        <v>2957560.5</v>
      </c>
      <c r="I382" s="1">
        <v>2942322.87</v>
      </c>
      <c r="J382" s="1">
        <v>0</v>
      </c>
      <c r="K382" s="1">
        <f>_SELECT_u_city_AS_Город_TO_CHAR_f_rental_start_YYYY_MM_AS_Месяц__202609232054[[#This Row],[Чистая Выручка]] * (1 + $B$4)</f>
        <v>2942322.87</v>
      </c>
      <c r="L382" s="1">
        <f>_SELECT_u_city_AS_Город_TO_CHAR_f_rental_start_YYYY_MM_AS_Месяц__202609232054[[#This Row],[Расходы на Ремонт]] * (1 + $B$5)</f>
        <v>0</v>
      </c>
      <c r="M38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2942322.87</v>
      </c>
    </row>
    <row r="383" spans="3:13" x14ac:dyDescent="0.25">
      <c r="C383" s="1" t="s">
        <v>8</v>
      </c>
      <c r="D383" s="2">
        <v>45870</v>
      </c>
      <c r="E383" s="1" t="s">
        <v>11</v>
      </c>
      <c r="F383">
        <v>4189</v>
      </c>
      <c r="G383" s="1" t="s">
        <v>398</v>
      </c>
      <c r="H383" s="1">
        <v>2916970.5</v>
      </c>
      <c r="I383" s="1">
        <v>2903419.27</v>
      </c>
      <c r="J383" s="1">
        <v>143076.4</v>
      </c>
      <c r="K383" s="1">
        <f>_SELECT_u_city_AS_Город_TO_CHAR_f_rental_start_YYYY_MM_AS_Месяц__202609232054[[#This Row],[Чистая Выручка]] * (1 + $B$4)</f>
        <v>2903419.27</v>
      </c>
      <c r="L383" s="1">
        <f>_SELECT_u_city_AS_Город_TO_CHAR_f_rental_start_YYYY_MM_AS_Месяц__202609232054[[#This Row],[Расходы на Ремонт]] * (1 + $B$5)</f>
        <v>143076.4</v>
      </c>
      <c r="M38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2760342.87</v>
      </c>
    </row>
    <row r="384" spans="3:13" x14ac:dyDescent="0.25">
      <c r="C384" s="1" t="s">
        <v>8</v>
      </c>
      <c r="D384" s="2">
        <v>45870</v>
      </c>
      <c r="E384" s="1" t="s">
        <v>13</v>
      </c>
      <c r="F384">
        <v>4242</v>
      </c>
      <c r="G384" s="1" t="s">
        <v>399</v>
      </c>
      <c r="H384" s="1">
        <v>2979168</v>
      </c>
      <c r="I384" s="1">
        <v>2964400.75</v>
      </c>
      <c r="J384" s="1">
        <v>69584.687999999995</v>
      </c>
      <c r="K384" s="1">
        <f>_SELECT_u_city_AS_Город_TO_CHAR_f_rental_start_YYYY_MM_AS_Месяц__202609232054[[#This Row],[Чистая Выручка]] * (1 + $B$4)</f>
        <v>2964400.75</v>
      </c>
      <c r="L384" s="1">
        <f>_SELECT_u_city_AS_Город_TO_CHAR_f_rental_start_YYYY_MM_AS_Месяц__202609232054[[#This Row],[Расходы на Ремонт]] * (1 + $B$5)</f>
        <v>69584.687999999995</v>
      </c>
      <c r="M38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2894816.0619999999</v>
      </c>
    </row>
    <row r="385" spans="3:13" x14ac:dyDescent="0.25">
      <c r="C385" s="1" t="s">
        <v>8</v>
      </c>
      <c r="D385" s="2">
        <v>45870</v>
      </c>
      <c r="E385" s="1" t="s">
        <v>15</v>
      </c>
      <c r="F385">
        <v>4058</v>
      </c>
      <c r="G385" s="1" t="s">
        <v>400</v>
      </c>
      <c r="H385" s="1">
        <v>2792665.5</v>
      </c>
      <c r="I385" s="1">
        <v>2778391.31</v>
      </c>
      <c r="J385" s="1">
        <v>50037.353999999999</v>
      </c>
      <c r="K385" s="1">
        <f>_SELECT_u_city_AS_Город_TO_CHAR_f_rental_start_YYYY_MM_AS_Месяц__202609232054[[#This Row],[Чистая Выручка]] * (1 + $B$4)</f>
        <v>2778391.31</v>
      </c>
      <c r="L385" s="1">
        <f>_SELECT_u_city_AS_Город_TO_CHAR_f_rental_start_YYYY_MM_AS_Месяц__202609232054[[#This Row],[Расходы на Ремонт]] * (1 + $B$5)</f>
        <v>50037.353999999999</v>
      </c>
      <c r="M38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2728353.9560000002</v>
      </c>
    </row>
    <row r="386" spans="3:13" x14ac:dyDescent="0.25">
      <c r="C386" s="1" t="s">
        <v>17</v>
      </c>
      <c r="D386" s="2">
        <v>45870</v>
      </c>
      <c r="E386" s="1" t="s">
        <v>9</v>
      </c>
      <c r="F386">
        <v>4131</v>
      </c>
      <c r="G386" s="1" t="s">
        <v>401</v>
      </c>
      <c r="H386" s="1">
        <v>2919965</v>
      </c>
      <c r="I386" s="1">
        <v>2906191.66</v>
      </c>
      <c r="J386" s="1">
        <v>0</v>
      </c>
      <c r="K386" s="1">
        <f>_SELECT_u_city_AS_Город_TO_CHAR_f_rental_start_YYYY_MM_AS_Месяц__202609232054[[#This Row],[Чистая Выручка]] * (1 + $B$4)</f>
        <v>2906191.66</v>
      </c>
      <c r="L386" s="1">
        <f>_SELECT_u_city_AS_Город_TO_CHAR_f_rental_start_YYYY_MM_AS_Месяц__202609232054[[#This Row],[Расходы на Ремонт]] * (1 + $B$5)</f>
        <v>0</v>
      </c>
      <c r="M38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2906191.66</v>
      </c>
    </row>
    <row r="387" spans="3:13" x14ac:dyDescent="0.25">
      <c r="C387" s="1" t="s">
        <v>17</v>
      </c>
      <c r="D387" s="2">
        <v>45870</v>
      </c>
      <c r="E387" s="1" t="s">
        <v>11</v>
      </c>
      <c r="F387">
        <v>4244</v>
      </c>
      <c r="G387" s="1" t="s">
        <v>402</v>
      </c>
      <c r="H387" s="1">
        <v>2989415</v>
      </c>
      <c r="I387" s="1">
        <v>2975218.45</v>
      </c>
      <c r="J387" s="1">
        <v>146401.25</v>
      </c>
      <c r="K387" s="1">
        <f>_SELECT_u_city_AS_Город_TO_CHAR_f_rental_start_YYYY_MM_AS_Месяц__202609232054[[#This Row],[Чистая Выручка]] * (1 + $B$4)</f>
        <v>2975218.45</v>
      </c>
      <c r="L387" s="1">
        <f>_SELECT_u_city_AS_Город_TO_CHAR_f_rental_start_YYYY_MM_AS_Месяц__202609232054[[#This Row],[Расходы на Ремонт]] * (1 + $B$5)</f>
        <v>146401.25</v>
      </c>
      <c r="M38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2828817.2</v>
      </c>
    </row>
    <row r="388" spans="3:13" x14ac:dyDescent="0.25">
      <c r="C388" s="1" t="s">
        <v>17</v>
      </c>
      <c r="D388" s="2">
        <v>45870</v>
      </c>
      <c r="E388" s="1" t="s">
        <v>13</v>
      </c>
      <c r="F388">
        <v>4182</v>
      </c>
      <c r="G388" s="1" t="s">
        <v>403</v>
      </c>
      <c r="H388" s="1">
        <v>2922270.5</v>
      </c>
      <c r="I388" s="1">
        <v>2908029.87</v>
      </c>
      <c r="J388" s="1">
        <v>68334.695999999996</v>
      </c>
      <c r="K388" s="1">
        <f>_SELECT_u_city_AS_Город_TO_CHAR_f_rental_start_YYYY_MM_AS_Месяц__202609232054[[#This Row],[Чистая Выручка]] * (1 + $B$4)</f>
        <v>2908029.87</v>
      </c>
      <c r="L388" s="1">
        <f>_SELECT_u_city_AS_Город_TO_CHAR_f_rental_start_YYYY_MM_AS_Месяц__202609232054[[#This Row],[Расходы на Ремонт]] * (1 + $B$5)</f>
        <v>68334.695999999996</v>
      </c>
      <c r="M38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2839695.1740000001</v>
      </c>
    </row>
    <row r="389" spans="3:13" x14ac:dyDescent="0.25">
      <c r="C389" s="1" t="s">
        <v>17</v>
      </c>
      <c r="D389" s="2">
        <v>45870</v>
      </c>
      <c r="E389" s="1" t="s">
        <v>15</v>
      </c>
      <c r="F389">
        <v>4209</v>
      </c>
      <c r="G389" s="1" t="s">
        <v>404</v>
      </c>
      <c r="H389" s="1">
        <v>2939668.5</v>
      </c>
      <c r="I389" s="1">
        <v>2925610.86</v>
      </c>
      <c r="J389" s="1">
        <v>52042.464</v>
      </c>
      <c r="K389" s="1">
        <f>_SELECT_u_city_AS_Город_TO_CHAR_f_rental_start_YYYY_MM_AS_Месяц__202609232054[[#This Row],[Чистая Выручка]] * (1 + $B$4)</f>
        <v>2925610.86</v>
      </c>
      <c r="L389" s="1">
        <f>_SELECT_u_city_AS_Город_TO_CHAR_f_rental_start_YYYY_MM_AS_Месяц__202609232054[[#This Row],[Расходы на Ремонт]] * (1 + $B$5)</f>
        <v>52042.464</v>
      </c>
      <c r="M38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2873568.3959999997</v>
      </c>
    </row>
    <row r="390" spans="3:13" x14ac:dyDescent="0.25">
      <c r="C390" s="1" t="s">
        <v>22</v>
      </c>
      <c r="D390" s="2">
        <v>45870</v>
      </c>
      <c r="E390" s="1" t="s">
        <v>9</v>
      </c>
      <c r="F390">
        <v>4265</v>
      </c>
      <c r="G390" s="1" t="s">
        <v>405</v>
      </c>
      <c r="H390" s="1">
        <v>2931297</v>
      </c>
      <c r="I390" s="1">
        <v>2917544.38</v>
      </c>
      <c r="J390" s="1">
        <v>0</v>
      </c>
      <c r="K390" s="1">
        <f>_SELECT_u_city_AS_Город_TO_CHAR_f_rental_start_YYYY_MM_AS_Месяц__202609232054[[#This Row],[Чистая Выручка]] * (1 + $B$4)</f>
        <v>2917544.38</v>
      </c>
      <c r="L390" s="1">
        <f>_SELECT_u_city_AS_Город_TO_CHAR_f_rental_start_YYYY_MM_AS_Месяц__202609232054[[#This Row],[Расходы на Ремонт]] * (1 + $B$5)</f>
        <v>0</v>
      </c>
      <c r="M39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2917544.38</v>
      </c>
    </row>
    <row r="391" spans="3:13" x14ac:dyDescent="0.25">
      <c r="C391" s="1" t="s">
        <v>22</v>
      </c>
      <c r="D391" s="2">
        <v>45870</v>
      </c>
      <c r="E391" s="1" t="s">
        <v>11</v>
      </c>
      <c r="F391">
        <v>4260</v>
      </c>
      <c r="G391" s="1" t="s">
        <v>406</v>
      </c>
      <c r="H391" s="1">
        <v>2968455</v>
      </c>
      <c r="I391" s="1">
        <v>2954453.96</v>
      </c>
      <c r="J391" s="1">
        <v>145623.79999999999</v>
      </c>
      <c r="K391" s="1">
        <f>_SELECT_u_city_AS_Город_TO_CHAR_f_rental_start_YYYY_MM_AS_Месяц__202609232054[[#This Row],[Чистая Выручка]] * (1 + $B$4)</f>
        <v>2954453.96</v>
      </c>
      <c r="L391" s="1">
        <f>_SELECT_u_city_AS_Город_TO_CHAR_f_rental_start_YYYY_MM_AS_Месяц__202609232054[[#This Row],[Расходы на Ремонт]] * (1 + $B$5)</f>
        <v>145623.79999999999</v>
      </c>
      <c r="M39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2808830.16</v>
      </c>
    </row>
    <row r="392" spans="3:13" x14ac:dyDescent="0.25">
      <c r="C392" s="1" t="s">
        <v>22</v>
      </c>
      <c r="D392" s="2">
        <v>45870</v>
      </c>
      <c r="E392" s="1" t="s">
        <v>13</v>
      </c>
      <c r="F392">
        <v>4303</v>
      </c>
      <c r="G392" s="1" t="s">
        <v>407</v>
      </c>
      <c r="H392" s="1">
        <v>2994878</v>
      </c>
      <c r="I392" s="1">
        <v>2980122.81</v>
      </c>
      <c r="J392" s="1">
        <v>71750.076000000001</v>
      </c>
      <c r="K392" s="1">
        <f>_SELECT_u_city_AS_Город_TO_CHAR_f_rental_start_YYYY_MM_AS_Месяц__202609232054[[#This Row],[Чистая Выручка]] * (1 + $B$4)</f>
        <v>2980122.81</v>
      </c>
      <c r="L392" s="1">
        <f>_SELECT_u_city_AS_Город_TO_CHAR_f_rental_start_YYYY_MM_AS_Месяц__202609232054[[#This Row],[Расходы на Ремонт]] * (1 + $B$5)</f>
        <v>71750.076000000001</v>
      </c>
      <c r="M39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2908372.7340000002</v>
      </c>
    </row>
    <row r="393" spans="3:13" x14ac:dyDescent="0.25">
      <c r="C393" s="1" t="s">
        <v>22</v>
      </c>
      <c r="D393" s="2">
        <v>45870</v>
      </c>
      <c r="E393" s="1" t="s">
        <v>15</v>
      </c>
      <c r="F393">
        <v>4114</v>
      </c>
      <c r="G393" s="1" t="s">
        <v>408</v>
      </c>
      <c r="H393" s="1">
        <v>2848462.5</v>
      </c>
      <c r="I393" s="1">
        <v>2834056.94</v>
      </c>
      <c r="J393" s="1">
        <v>49800.906000000003</v>
      </c>
      <c r="K393" s="1">
        <f>_SELECT_u_city_AS_Город_TO_CHAR_f_rental_start_YYYY_MM_AS_Месяц__202609232054[[#This Row],[Чистая Выручка]] * (1 + $B$4)</f>
        <v>2834056.94</v>
      </c>
      <c r="L393" s="1">
        <f>_SELECT_u_city_AS_Город_TO_CHAR_f_rental_start_YYYY_MM_AS_Месяц__202609232054[[#This Row],[Расходы на Ремонт]] * (1 + $B$5)</f>
        <v>49800.906000000003</v>
      </c>
      <c r="M39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2784256.034</v>
      </c>
    </row>
    <row r="394" spans="3:13" x14ac:dyDescent="0.25">
      <c r="C394" s="1" t="s">
        <v>27</v>
      </c>
      <c r="D394" s="2">
        <v>45870</v>
      </c>
      <c r="E394" s="1" t="s">
        <v>9</v>
      </c>
      <c r="F394">
        <v>4061</v>
      </c>
      <c r="G394" s="1" t="s">
        <v>409</v>
      </c>
      <c r="H394" s="1">
        <v>2837593</v>
      </c>
      <c r="I394" s="1">
        <v>2822860.72</v>
      </c>
      <c r="J394" s="1">
        <v>0</v>
      </c>
      <c r="K394" s="1">
        <f>_SELECT_u_city_AS_Город_TO_CHAR_f_rental_start_YYYY_MM_AS_Месяц__202609232054[[#This Row],[Чистая Выручка]] * (1 + $B$4)</f>
        <v>2822860.72</v>
      </c>
      <c r="L394" s="1">
        <f>_SELECT_u_city_AS_Город_TO_CHAR_f_rental_start_YYYY_MM_AS_Месяц__202609232054[[#This Row],[Расходы на Ремонт]] * (1 + $B$5)</f>
        <v>0</v>
      </c>
      <c r="M39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2822860.72</v>
      </c>
    </row>
    <row r="395" spans="3:13" x14ac:dyDescent="0.25">
      <c r="C395" s="1" t="s">
        <v>27</v>
      </c>
      <c r="D395" s="2">
        <v>45870</v>
      </c>
      <c r="E395" s="1" t="s">
        <v>11</v>
      </c>
      <c r="F395">
        <v>4047</v>
      </c>
      <c r="G395" s="1" t="s">
        <v>410</v>
      </c>
      <c r="H395" s="1">
        <v>2802630</v>
      </c>
      <c r="I395" s="1">
        <v>2788671.87</v>
      </c>
      <c r="J395" s="1">
        <v>138494.29999999999</v>
      </c>
      <c r="K395" s="1">
        <f>_SELECT_u_city_AS_Город_TO_CHAR_f_rental_start_YYYY_MM_AS_Месяц__202609232054[[#This Row],[Чистая Выручка]] * (1 + $B$4)</f>
        <v>2788671.87</v>
      </c>
      <c r="L395" s="1">
        <f>_SELECT_u_city_AS_Город_TO_CHAR_f_rental_start_YYYY_MM_AS_Месяц__202609232054[[#This Row],[Расходы на Ремонт]] * (1 + $B$5)</f>
        <v>138494.29999999999</v>
      </c>
      <c r="M39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2650177.5700000003</v>
      </c>
    </row>
    <row r="396" spans="3:13" x14ac:dyDescent="0.25">
      <c r="C396" s="1" t="s">
        <v>27</v>
      </c>
      <c r="D396" s="2">
        <v>45870</v>
      </c>
      <c r="E396" s="1" t="s">
        <v>13</v>
      </c>
      <c r="F396">
        <v>4214</v>
      </c>
      <c r="G396" s="1" t="s">
        <v>411</v>
      </c>
      <c r="H396" s="1">
        <v>2937768.5</v>
      </c>
      <c r="I396" s="1">
        <v>2923632.52</v>
      </c>
      <c r="J396" s="1">
        <v>68985.888000000006</v>
      </c>
      <c r="K396" s="1">
        <f>_SELECT_u_city_AS_Город_TO_CHAR_f_rental_start_YYYY_MM_AS_Месяц__202609232054[[#This Row],[Чистая Выручка]] * (1 + $B$4)</f>
        <v>2923632.52</v>
      </c>
      <c r="L396" s="1">
        <f>_SELECT_u_city_AS_Город_TO_CHAR_f_rental_start_YYYY_MM_AS_Месяц__202609232054[[#This Row],[Расходы на Ремонт]] * (1 + $B$5)</f>
        <v>68985.888000000006</v>
      </c>
      <c r="M39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2854646.6320000002</v>
      </c>
    </row>
    <row r="397" spans="3:13" x14ac:dyDescent="0.25">
      <c r="C397" s="1" t="s">
        <v>27</v>
      </c>
      <c r="D397" s="2">
        <v>45870</v>
      </c>
      <c r="E397" s="1" t="s">
        <v>15</v>
      </c>
      <c r="F397">
        <v>3976</v>
      </c>
      <c r="G397" s="1" t="s">
        <v>412</v>
      </c>
      <c r="H397" s="1">
        <v>2781598.5</v>
      </c>
      <c r="I397" s="1">
        <v>2768128.32</v>
      </c>
      <c r="J397" s="1">
        <v>48422.124000000003</v>
      </c>
      <c r="K397" s="1">
        <f>_SELECT_u_city_AS_Город_TO_CHAR_f_rental_start_YYYY_MM_AS_Месяц__202609232054[[#This Row],[Чистая Выручка]] * (1 + $B$4)</f>
        <v>2768128.32</v>
      </c>
      <c r="L397" s="1">
        <f>_SELECT_u_city_AS_Город_TO_CHAR_f_rental_start_YYYY_MM_AS_Месяц__202609232054[[#This Row],[Расходы на Ремонт]] * (1 + $B$5)</f>
        <v>48422.124000000003</v>
      </c>
      <c r="M39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2719706.196</v>
      </c>
    </row>
    <row r="398" spans="3:13" x14ac:dyDescent="0.25">
      <c r="C398" s="1" t="s">
        <v>32</v>
      </c>
      <c r="D398" s="2">
        <v>45870</v>
      </c>
      <c r="E398" s="1" t="s">
        <v>9</v>
      </c>
      <c r="F398">
        <v>4258</v>
      </c>
      <c r="G398" s="1" t="s">
        <v>413</v>
      </c>
      <c r="H398" s="1">
        <v>2949474.5</v>
      </c>
      <c r="I398" s="1">
        <v>2934589.24</v>
      </c>
      <c r="J398" s="1">
        <v>0</v>
      </c>
      <c r="K398" s="1">
        <f>_SELECT_u_city_AS_Город_TO_CHAR_f_rental_start_YYYY_MM_AS_Месяц__202609232054[[#This Row],[Чистая Выручка]] * (1 + $B$4)</f>
        <v>2934589.24</v>
      </c>
      <c r="L398" s="1">
        <f>_SELECT_u_city_AS_Город_TO_CHAR_f_rental_start_YYYY_MM_AS_Месяц__202609232054[[#This Row],[Расходы на Ремонт]] * (1 + $B$5)</f>
        <v>0</v>
      </c>
      <c r="M39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2934589.24</v>
      </c>
    </row>
    <row r="399" spans="3:13" x14ac:dyDescent="0.25">
      <c r="C399" s="1" t="s">
        <v>32</v>
      </c>
      <c r="D399" s="2">
        <v>45870</v>
      </c>
      <c r="E399" s="1" t="s">
        <v>11</v>
      </c>
      <c r="F399">
        <v>4130</v>
      </c>
      <c r="G399" s="1" t="s">
        <v>414</v>
      </c>
      <c r="H399" s="1">
        <v>2874025</v>
      </c>
      <c r="I399" s="1">
        <v>2859543.22</v>
      </c>
      <c r="J399" s="1">
        <v>140042.17499999999</v>
      </c>
      <c r="K399" s="1">
        <f>_SELECT_u_city_AS_Город_TO_CHAR_f_rental_start_YYYY_MM_AS_Месяц__202609232054[[#This Row],[Чистая Выручка]] * (1 + $B$4)</f>
        <v>2859543.22</v>
      </c>
      <c r="L399" s="1">
        <f>_SELECT_u_city_AS_Город_TO_CHAR_f_rental_start_YYYY_MM_AS_Месяц__202609232054[[#This Row],[Расходы на Ремонт]] * (1 + $B$5)</f>
        <v>140042.17499999999</v>
      </c>
      <c r="M39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2719501.0450000004</v>
      </c>
    </row>
    <row r="400" spans="3:13" x14ac:dyDescent="0.25">
      <c r="C400" s="1" t="s">
        <v>32</v>
      </c>
      <c r="D400" s="2">
        <v>45870</v>
      </c>
      <c r="E400" s="1" t="s">
        <v>13</v>
      </c>
      <c r="F400">
        <v>4285</v>
      </c>
      <c r="G400" s="1" t="s">
        <v>415</v>
      </c>
      <c r="H400" s="1">
        <v>2992363.5</v>
      </c>
      <c r="I400" s="1">
        <v>2978456.65</v>
      </c>
      <c r="J400" s="1">
        <v>69438.923999999999</v>
      </c>
      <c r="K400" s="1">
        <f>_SELECT_u_city_AS_Город_TO_CHAR_f_rental_start_YYYY_MM_AS_Месяц__202609232054[[#This Row],[Чистая Выручка]] * (1 + $B$4)</f>
        <v>2978456.65</v>
      </c>
      <c r="L400" s="1">
        <f>_SELECT_u_city_AS_Город_TO_CHAR_f_rental_start_YYYY_MM_AS_Месяц__202609232054[[#This Row],[Расходы на Ремонт]] * (1 + $B$5)</f>
        <v>69438.923999999999</v>
      </c>
      <c r="M40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2909017.7259999998</v>
      </c>
    </row>
    <row r="401" spans="3:13" x14ac:dyDescent="0.25">
      <c r="C401" s="1" t="s">
        <v>32</v>
      </c>
      <c r="D401" s="2">
        <v>45870</v>
      </c>
      <c r="E401" s="1" t="s">
        <v>15</v>
      </c>
      <c r="F401">
        <v>4042</v>
      </c>
      <c r="G401" s="1" t="s">
        <v>416</v>
      </c>
      <c r="H401" s="1">
        <v>2800979.5</v>
      </c>
      <c r="I401" s="1">
        <v>2786594.51</v>
      </c>
      <c r="J401" s="1">
        <v>49415.067000000003</v>
      </c>
      <c r="K401" s="1">
        <f>_SELECT_u_city_AS_Город_TO_CHAR_f_rental_start_YYYY_MM_AS_Месяц__202609232054[[#This Row],[Чистая Выручка]] * (1 + $B$4)</f>
        <v>2786594.51</v>
      </c>
      <c r="L401" s="1">
        <f>_SELECT_u_city_AS_Город_TO_CHAR_f_rental_start_YYYY_MM_AS_Месяц__202609232054[[#This Row],[Расходы на Ремонт]] * (1 + $B$5)</f>
        <v>49415.067000000003</v>
      </c>
      <c r="M40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2737179.443</v>
      </c>
    </row>
    <row r="402" spans="3:13" x14ac:dyDescent="0.25">
      <c r="C402" s="1" t="s">
        <v>8</v>
      </c>
      <c r="D402" s="2">
        <v>45901</v>
      </c>
      <c r="E402" s="1" t="s">
        <v>9</v>
      </c>
      <c r="F402">
        <v>4254</v>
      </c>
      <c r="G402" s="1" t="s">
        <v>417</v>
      </c>
      <c r="H402" s="1">
        <v>2944704</v>
      </c>
      <c r="I402" s="1">
        <v>2930009.07</v>
      </c>
      <c r="J402" s="1">
        <v>0</v>
      </c>
      <c r="K402" s="1">
        <f>_SELECT_u_city_AS_Город_TO_CHAR_f_rental_start_YYYY_MM_AS_Месяц__202609232054[[#This Row],[Чистая Выручка]] * (1 + $B$4)</f>
        <v>2930009.07</v>
      </c>
      <c r="L402" s="1">
        <f>_SELECT_u_city_AS_Город_TO_CHAR_f_rental_start_YYYY_MM_AS_Месяц__202609232054[[#This Row],[Расходы на Ремонт]] * (1 + $B$5)</f>
        <v>0</v>
      </c>
      <c r="M40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2930009.07</v>
      </c>
    </row>
    <row r="403" spans="3:13" x14ac:dyDescent="0.25">
      <c r="C403" s="1" t="s">
        <v>8</v>
      </c>
      <c r="D403" s="2">
        <v>45901</v>
      </c>
      <c r="E403" s="1" t="s">
        <v>11</v>
      </c>
      <c r="F403">
        <v>4182</v>
      </c>
      <c r="G403" s="1" t="s">
        <v>418</v>
      </c>
      <c r="H403" s="1">
        <v>2897129.5</v>
      </c>
      <c r="I403" s="1">
        <v>2882372.91</v>
      </c>
      <c r="J403" s="1">
        <v>141647</v>
      </c>
      <c r="K403" s="1">
        <f>_SELECT_u_city_AS_Город_TO_CHAR_f_rental_start_YYYY_MM_AS_Месяц__202609232054[[#This Row],[Чистая Выручка]] * (1 + $B$4)</f>
        <v>2882372.91</v>
      </c>
      <c r="L403" s="1">
        <f>_SELECT_u_city_AS_Город_TO_CHAR_f_rental_start_YYYY_MM_AS_Месяц__202609232054[[#This Row],[Расходы на Ремонт]] * (1 + $B$5)</f>
        <v>141647</v>
      </c>
      <c r="M40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2740725.91</v>
      </c>
    </row>
    <row r="404" spans="3:13" x14ac:dyDescent="0.25">
      <c r="C404" s="1" t="s">
        <v>8</v>
      </c>
      <c r="D404" s="2">
        <v>45901</v>
      </c>
      <c r="E404" s="1" t="s">
        <v>13</v>
      </c>
      <c r="F404">
        <v>4144</v>
      </c>
      <c r="G404" s="1" t="s">
        <v>419</v>
      </c>
      <c r="H404" s="1">
        <v>2868300.5</v>
      </c>
      <c r="I404" s="1">
        <v>2854238.99</v>
      </c>
      <c r="J404" s="1">
        <v>66915.528000000006</v>
      </c>
      <c r="K404" s="1">
        <f>_SELECT_u_city_AS_Город_TO_CHAR_f_rental_start_YYYY_MM_AS_Месяц__202609232054[[#This Row],[Чистая Выручка]] * (1 + $B$4)</f>
        <v>2854238.99</v>
      </c>
      <c r="L404" s="1">
        <f>_SELECT_u_city_AS_Город_TO_CHAR_f_rental_start_YYYY_MM_AS_Месяц__202609232054[[#This Row],[Расходы на Ремонт]] * (1 + $B$5)</f>
        <v>66915.528000000006</v>
      </c>
      <c r="M40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2787323.4620000003</v>
      </c>
    </row>
    <row r="405" spans="3:13" x14ac:dyDescent="0.25">
      <c r="C405" s="1" t="s">
        <v>8</v>
      </c>
      <c r="D405" s="2">
        <v>45901</v>
      </c>
      <c r="E405" s="1" t="s">
        <v>15</v>
      </c>
      <c r="F405">
        <v>4219</v>
      </c>
      <c r="G405" s="1" t="s">
        <v>420</v>
      </c>
      <c r="H405" s="1">
        <v>2927153.5</v>
      </c>
      <c r="I405" s="1">
        <v>2913378.32</v>
      </c>
      <c r="J405" s="1">
        <v>51851.106</v>
      </c>
      <c r="K405" s="1">
        <f>_SELECT_u_city_AS_Город_TO_CHAR_f_rental_start_YYYY_MM_AS_Месяц__202609232054[[#This Row],[Чистая Выручка]] * (1 + $B$4)</f>
        <v>2913378.32</v>
      </c>
      <c r="L405" s="1">
        <f>_SELECT_u_city_AS_Город_TO_CHAR_f_rental_start_YYYY_MM_AS_Месяц__202609232054[[#This Row],[Расходы на Ремонт]] * (1 + $B$5)</f>
        <v>51851.106</v>
      </c>
      <c r="M40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2861527.2139999997</v>
      </c>
    </row>
    <row r="406" spans="3:13" x14ac:dyDescent="0.25">
      <c r="C406" s="1" t="s">
        <v>17</v>
      </c>
      <c r="D406" s="2">
        <v>45901</v>
      </c>
      <c r="E406" s="1" t="s">
        <v>9</v>
      </c>
      <c r="F406">
        <v>4164</v>
      </c>
      <c r="G406" s="1" t="s">
        <v>421</v>
      </c>
      <c r="H406" s="1">
        <v>2906823</v>
      </c>
      <c r="I406" s="1">
        <v>2892847.12</v>
      </c>
      <c r="J406" s="1">
        <v>0</v>
      </c>
      <c r="K406" s="1">
        <f>_SELECT_u_city_AS_Город_TO_CHAR_f_rental_start_YYYY_MM_AS_Месяц__202609232054[[#This Row],[Чистая Выручка]] * (1 + $B$4)</f>
        <v>2892847.12</v>
      </c>
      <c r="L406" s="1">
        <f>_SELECT_u_city_AS_Город_TO_CHAR_f_rental_start_YYYY_MM_AS_Месяц__202609232054[[#This Row],[Расходы на Ремонт]] * (1 + $B$5)</f>
        <v>0</v>
      </c>
      <c r="M40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2892847.12</v>
      </c>
    </row>
    <row r="407" spans="3:13" x14ac:dyDescent="0.25">
      <c r="C407" s="1" t="s">
        <v>17</v>
      </c>
      <c r="D407" s="2">
        <v>45901</v>
      </c>
      <c r="E407" s="1" t="s">
        <v>11</v>
      </c>
      <c r="F407">
        <v>4162</v>
      </c>
      <c r="G407" s="1" t="s">
        <v>422</v>
      </c>
      <c r="H407" s="1">
        <v>2897526.5</v>
      </c>
      <c r="I407" s="1">
        <v>2885188.75</v>
      </c>
      <c r="J407" s="1">
        <v>144052.97500000001</v>
      </c>
      <c r="K407" s="1">
        <f>_SELECT_u_city_AS_Город_TO_CHAR_f_rental_start_YYYY_MM_AS_Месяц__202609232054[[#This Row],[Чистая Выручка]] * (1 + $B$4)</f>
        <v>2885188.75</v>
      </c>
      <c r="L407" s="1">
        <f>_SELECT_u_city_AS_Город_TO_CHAR_f_rental_start_YYYY_MM_AS_Месяц__202609232054[[#This Row],[Расходы на Ремонт]] * (1 + $B$5)</f>
        <v>144052.97500000001</v>
      </c>
      <c r="M40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2741135.7749999999</v>
      </c>
    </row>
    <row r="408" spans="3:13" x14ac:dyDescent="0.25">
      <c r="C408" s="1" t="s">
        <v>17</v>
      </c>
      <c r="D408" s="2">
        <v>45901</v>
      </c>
      <c r="E408" s="1" t="s">
        <v>13</v>
      </c>
      <c r="F408">
        <v>4221</v>
      </c>
      <c r="G408" s="1" t="s">
        <v>423</v>
      </c>
      <c r="H408" s="1">
        <v>2966332</v>
      </c>
      <c r="I408" s="1">
        <v>2952249.57</v>
      </c>
      <c r="J408" s="1">
        <v>69012.588000000003</v>
      </c>
      <c r="K408" s="1">
        <f>_SELECT_u_city_AS_Город_TO_CHAR_f_rental_start_YYYY_MM_AS_Месяц__202609232054[[#This Row],[Чистая Выручка]] * (1 + $B$4)</f>
        <v>2952249.57</v>
      </c>
      <c r="L408" s="1">
        <f>_SELECT_u_city_AS_Город_TO_CHAR_f_rental_start_YYYY_MM_AS_Месяц__202609232054[[#This Row],[Расходы на Ремонт]] * (1 + $B$5)</f>
        <v>69012.588000000003</v>
      </c>
      <c r="M40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2883236.9819999998</v>
      </c>
    </row>
    <row r="409" spans="3:13" x14ac:dyDescent="0.25">
      <c r="C409" s="1" t="s">
        <v>17</v>
      </c>
      <c r="D409" s="2">
        <v>45901</v>
      </c>
      <c r="E409" s="1" t="s">
        <v>15</v>
      </c>
      <c r="F409">
        <v>4084</v>
      </c>
      <c r="G409" s="1" t="s">
        <v>424</v>
      </c>
      <c r="H409" s="1">
        <v>2876313</v>
      </c>
      <c r="I409" s="1">
        <v>2862966.44</v>
      </c>
      <c r="J409" s="1">
        <v>50194.925999999999</v>
      </c>
      <c r="K409" s="1">
        <f>_SELECT_u_city_AS_Город_TO_CHAR_f_rental_start_YYYY_MM_AS_Месяц__202609232054[[#This Row],[Чистая Выручка]] * (1 + $B$4)</f>
        <v>2862966.44</v>
      </c>
      <c r="L409" s="1">
        <f>_SELECT_u_city_AS_Город_TO_CHAR_f_rental_start_YYYY_MM_AS_Месяц__202609232054[[#This Row],[Расходы на Ремонт]] * (1 + $B$5)</f>
        <v>50194.925999999999</v>
      </c>
      <c r="M40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2812771.514</v>
      </c>
    </row>
    <row r="410" spans="3:13" x14ac:dyDescent="0.25">
      <c r="C410" s="1" t="s">
        <v>22</v>
      </c>
      <c r="D410" s="2">
        <v>45901</v>
      </c>
      <c r="E410" s="1" t="s">
        <v>9</v>
      </c>
      <c r="F410">
        <v>4296</v>
      </c>
      <c r="G410" s="1" t="s">
        <v>425</v>
      </c>
      <c r="H410" s="1">
        <v>3026366.5</v>
      </c>
      <c r="I410" s="1">
        <v>3012040.93</v>
      </c>
      <c r="J410" s="1">
        <v>0</v>
      </c>
      <c r="K410" s="1">
        <f>_SELECT_u_city_AS_Город_TO_CHAR_f_rental_start_YYYY_MM_AS_Месяц__202609232054[[#This Row],[Чистая Выручка]] * (1 + $B$4)</f>
        <v>3012040.93</v>
      </c>
      <c r="L410" s="1">
        <f>_SELECT_u_city_AS_Город_TO_CHAR_f_rental_start_YYYY_MM_AS_Месяц__202609232054[[#This Row],[Расходы на Ремонт]] * (1 + $B$5)</f>
        <v>0</v>
      </c>
      <c r="M41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3012040.93</v>
      </c>
    </row>
    <row r="411" spans="3:13" x14ac:dyDescent="0.25">
      <c r="C411" s="1" t="s">
        <v>22</v>
      </c>
      <c r="D411" s="2">
        <v>45901</v>
      </c>
      <c r="E411" s="1" t="s">
        <v>11</v>
      </c>
      <c r="F411">
        <v>4271</v>
      </c>
      <c r="G411" s="1" t="s">
        <v>426</v>
      </c>
      <c r="H411" s="1">
        <v>2964311</v>
      </c>
      <c r="I411" s="1">
        <v>2950267.66</v>
      </c>
      <c r="J411" s="1">
        <v>144458.82500000001</v>
      </c>
      <c r="K411" s="1">
        <f>_SELECT_u_city_AS_Город_TO_CHAR_f_rental_start_YYYY_MM_AS_Месяц__202609232054[[#This Row],[Чистая Выручка]] * (1 + $B$4)</f>
        <v>2950267.66</v>
      </c>
      <c r="L411" s="1">
        <f>_SELECT_u_city_AS_Город_TO_CHAR_f_rental_start_YYYY_MM_AS_Месяц__202609232054[[#This Row],[Расходы на Ремонт]] * (1 + $B$5)</f>
        <v>144458.82500000001</v>
      </c>
      <c r="M41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2805808.835</v>
      </c>
    </row>
    <row r="412" spans="3:13" x14ac:dyDescent="0.25">
      <c r="C412" s="1" t="s">
        <v>22</v>
      </c>
      <c r="D412" s="2">
        <v>45901</v>
      </c>
      <c r="E412" s="1" t="s">
        <v>13</v>
      </c>
      <c r="F412">
        <v>4295</v>
      </c>
      <c r="G412" s="1" t="s">
        <v>427</v>
      </c>
      <c r="H412" s="1">
        <v>2984202.5</v>
      </c>
      <c r="I412" s="1">
        <v>2969002.28</v>
      </c>
      <c r="J412" s="1">
        <v>70217.987999999998</v>
      </c>
      <c r="K412" s="1">
        <f>_SELECT_u_city_AS_Город_TO_CHAR_f_rental_start_YYYY_MM_AS_Месяц__202609232054[[#This Row],[Чистая Выручка]] * (1 + $B$4)</f>
        <v>2969002.28</v>
      </c>
      <c r="L412" s="1">
        <f>_SELECT_u_city_AS_Город_TO_CHAR_f_rental_start_YYYY_MM_AS_Месяц__202609232054[[#This Row],[Расходы на Ремонт]] * (1 + $B$5)</f>
        <v>70217.987999999998</v>
      </c>
      <c r="M41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2898784.2919999999</v>
      </c>
    </row>
    <row r="413" spans="3:13" x14ac:dyDescent="0.25">
      <c r="C413" s="1" t="s">
        <v>22</v>
      </c>
      <c r="D413" s="2">
        <v>45901</v>
      </c>
      <c r="E413" s="1" t="s">
        <v>15</v>
      </c>
      <c r="F413">
        <v>4194</v>
      </c>
      <c r="G413" s="1" t="s">
        <v>428</v>
      </c>
      <c r="H413" s="1">
        <v>2902304.5</v>
      </c>
      <c r="I413" s="1">
        <v>2887545.86</v>
      </c>
      <c r="J413" s="1">
        <v>51808.328999999998</v>
      </c>
      <c r="K413" s="1">
        <f>_SELECT_u_city_AS_Город_TO_CHAR_f_rental_start_YYYY_MM_AS_Месяц__202609232054[[#This Row],[Чистая Выручка]] * (1 + $B$4)</f>
        <v>2887545.86</v>
      </c>
      <c r="L413" s="1">
        <f>_SELECT_u_city_AS_Город_TO_CHAR_f_rental_start_YYYY_MM_AS_Месяц__202609232054[[#This Row],[Расходы на Ремонт]] * (1 + $B$5)</f>
        <v>51808.328999999998</v>
      </c>
      <c r="M41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2835737.531</v>
      </c>
    </row>
    <row r="414" spans="3:13" x14ac:dyDescent="0.25">
      <c r="C414" s="1" t="s">
        <v>27</v>
      </c>
      <c r="D414" s="2">
        <v>45901</v>
      </c>
      <c r="E414" s="1" t="s">
        <v>9</v>
      </c>
      <c r="F414">
        <v>4168</v>
      </c>
      <c r="G414" s="1" t="s">
        <v>429</v>
      </c>
      <c r="H414" s="1">
        <v>2947684</v>
      </c>
      <c r="I414" s="1">
        <v>2933240.17</v>
      </c>
      <c r="J414" s="1">
        <v>0</v>
      </c>
      <c r="K414" s="1">
        <f>_SELECT_u_city_AS_Город_TO_CHAR_f_rental_start_YYYY_MM_AS_Месяц__202609232054[[#This Row],[Чистая Выручка]] * (1 + $B$4)</f>
        <v>2933240.17</v>
      </c>
      <c r="L414" s="1">
        <f>_SELECT_u_city_AS_Город_TO_CHAR_f_rental_start_YYYY_MM_AS_Месяц__202609232054[[#This Row],[Расходы на Ремонт]] * (1 + $B$5)</f>
        <v>0</v>
      </c>
      <c r="M41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2933240.17</v>
      </c>
    </row>
    <row r="415" spans="3:13" x14ac:dyDescent="0.25">
      <c r="C415" s="1" t="s">
        <v>27</v>
      </c>
      <c r="D415" s="2">
        <v>45901</v>
      </c>
      <c r="E415" s="1" t="s">
        <v>11</v>
      </c>
      <c r="F415">
        <v>4127</v>
      </c>
      <c r="G415" s="1" t="s">
        <v>430</v>
      </c>
      <c r="H415" s="1">
        <v>2861402</v>
      </c>
      <c r="I415" s="1">
        <v>2847890.52</v>
      </c>
      <c r="J415" s="1">
        <v>140125.79999999999</v>
      </c>
      <c r="K415" s="1">
        <f>_SELECT_u_city_AS_Город_TO_CHAR_f_rental_start_YYYY_MM_AS_Месяц__202609232054[[#This Row],[Чистая Выручка]] * (1 + $B$4)</f>
        <v>2847890.52</v>
      </c>
      <c r="L415" s="1">
        <f>_SELECT_u_city_AS_Город_TO_CHAR_f_rental_start_YYYY_MM_AS_Месяц__202609232054[[#This Row],[Расходы на Ремонт]] * (1 + $B$5)</f>
        <v>140125.79999999999</v>
      </c>
      <c r="M41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2707764.72</v>
      </c>
    </row>
    <row r="416" spans="3:13" x14ac:dyDescent="0.25">
      <c r="C416" s="1" t="s">
        <v>27</v>
      </c>
      <c r="D416" s="2">
        <v>45901</v>
      </c>
      <c r="E416" s="1" t="s">
        <v>13</v>
      </c>
      <c r="F416">
        <v>4189</v>
      </c>
      <c r="G416" s="1" t="s">
        <v>431</v>
      </c>
      <c r="H416" s="1">
        <v>2926080</v>
      </c>
      <c r="I416" s="1">
        <v>2911542.89</v>
      </c>
      <c r="J416" s="1">
        <v>68371.331999999995</v>
      </c>
      <c r="K416" s="1">
        <f>_SELECT_u_city_AS_Город_TO_CHAR_f_rental_start_YYYY_MM_AS_Месяц__202609232054[[#This Row],[Чистая Выручка]] * (1 + $B$4)</f>
        <v>2911542.89</v>
      </c>
      <c r="L416" s="1">
        <f>_SELECT_u_city_AS_Город_TO_CHAR_f_rental_start_YYYY_MM_AS_Месяц__202609232054[[#This Row],[Расходы на Ремонт]] * (1 + $B$5)</f>
        <v>68371.331999999995</v>
      </c>
      <c r="M41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2843171.5580000002</v>
      </c>
    </row>
    <row r="417" spans="3:13" x14ac:dyDescent="0.25">
      <c r="C417" s="1" t="s">
        <v>27</v>
      </c>
      <c r="D417" s="2">
        <v>45901</v>
      </c>
      <c r="E417" s="1" t="s">
        <v>15</v>
      </c>
      <c r="F417">
        <v>4070</v>
      </c>
      <c r="G417" s="1" t="s">
        <v>432</v>
      </c>
      <c r="H417" s="1">
        <v>2835818</v>
      </c>
      <c r="I417" s="1">
        <v>2822563.3</v>
      </c>
      <c r="J417" s="1">
        <v>49564.502999999997</v>
      </c>
      <c r="K417" s="1">
        <f>_SELECT_u_city_AS_Город_TO_CHAR_f_rental_start_YYYY_MM_AS_Месяц__202609232054[[#This Row],[Чистая Выручка]] * (1 + $B$4)</f>
        <v>2822563.3</v>
      </c>
      <c r="L417" s="1">
        <f>_SELECT_u_city_AS_Город_TO_CHAR_f_rental_start_YYYY_MM_AS_Месяц__202609232054[[#This Row],[Расходы на Ремонт]] * (1 + $B$5)</f>
        <v>49564.502999999997</v>
      </c>
      <c r="M41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2772998.7969999998</v>
      </c>
    </row>
    <row r="418" spans="3:13" x14ac:dyDescent="0.25">
      <c r="C418" s="1" t="s">
        <v>32</v>
      </c>
      <c r="D418" s="2">
        <v>45901</v>
      </c>
      <c r="E418" s="1" t="s">
        <v>9</v>
      </c>
      <c r="F418">
        <v>4238</v>
      </c>
      <c r="G418" s="1" t="s">
        <v>433</v>
      </c>
      <c r="H418" s="1">
        <v>2984273</v>
      </c>
      <c r="I418" s="1">
        <v>2970934.33</v>
      </c>
      <c r="J418" s="1">
        <v>0</v>
      </c>
      <c r="K418" s="1">
        <f>_SELECT_u_city_AS_Город_TO_CHAR_f_rental_start_YYYY_MM_AS_Месяц__202609232054[[#This Row],[Чистая Выручка]] * (1 + $B$4)</f>
        <v>2970934.33</v>
      </c>
      <c r="L418" s="1">
        <f>_SELECT_u_city_AS_Город_TO_CHAR_f_rental_start_YYYY_MM_AS_Месяц__202609232054[[#This Row],[Расходы на Ремонт]] * (1 + $B$5)</f>
        <v>0</v>
      </c>
      <c r="M41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2970934.33</v>
      </c>
    </row>
    <row r="419" spans="3:13" x14ac:dyDescent="0.25">
      <c r="C419" s="1" t="s">
        <v>32</v>
      </c>
      <c r="D419" s="2">
        <v>45901</v>
      </c>
      <c r="E419" s="1" t="s">
        <v>11</v>
      </c>
      <c r="F419">
        <v>3993</v>
      </c>
      <c r="G419" s="1" t="s">
        <v>434</v>
      </c>
      <c r="H419" s="1">
        <v>2784944</v>
      </c>
      <c r="I419" s="1">
        <v>2771865.42</v>
      </c>
      <c r="J419" s="1">
        <v>136575.6</v>
      </c>
      <c r="K419" s="1">
        <f>_SELECT_u_city_AS_Город_TO_CHAR_f_rental_start_YYYY_MM_AS_Месяц__202609232054[[#This Row],[Чистая Выручка]] * (1 + $B$4)</f>
        <v>2771865.42</v>
      </c>
      <c r="L419" s="1">
        <f>_SELECT_u_city_AS_Город_TO_CHAR_f_rental_start_YYYY_MM_AS_Месяц__202609232054[[#This Row],[Расходы на Ремонт]] * (1 + $B$5)</f>
        <v>136575.6</v>
      </c>
      <c r="M41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2635289.8199999998</v>
      </c>
    </row>
    <row r="420" spans="3:13" x14ac:dyDescent="0.25">
      <c r="C420" s="1" t="s">
        <v>32</v>
      </c>
      <c r="D420" s="2">
        <v>45901</v>
      </c>
      <c r="E420" s="1" t="s">
        <v>13</v>
      </c>
      <c r="F420">
        <v>4201</v>
      </c>
      <c r="G420" s="1" t="s">
        <v>435</v>
      </c>
      <c r="H420" s="1">
        <v>2949921.5</v>
      </c>
      <c r="I420" s="1">
        <v>2935345.28</v>
      </c>
      <c r="J420" s="1">
        <v>69038.843999999997</v>
      </c>
      <c r="K420" s="1">
        <f>_SELECT_u_city_AS_Город_TO_CHAR_f_rental_start_YYYY_MM_AS_Месяц__202609232054[[#This Row],[Чистая Выручка]] * (1 + $B$4)</f>
        <v>2935345.28</v>
      </c>
      <c r="L420" s="1">
        <f>_SELECT_u_city_AS_Город_TO_CHAR_f_rental_start_YYYY_MM_AS_Месяц__202609232054[[#This Row],[Расходы на Ремонт]] * (1 + $B$5)</f>
        <v>69038.843999999997</v>
      </c>
      <c r="M42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2866306.4359999998</v>
      </c>
    </row>
    <row r="421" spans="3:13" x14ac:dyDescent="0.25">
      <c r="C421" s="1" t="s">
        <v>32</v>
      </c>
      <c r="D421" s="2">
        <v>45901</v>
      </c>
      <c r="E421" s="1" t="s">
        <v>15</v>
      </c>
      <c r="F421">
        <v>4114</v>
      </c>
      <c r="G421" s="1" t="s">
        <v>436</v>
      </c>
      <c r="H421" s="1">
        <v>2876384.5</v>
      </c>
      <c r="I421" s="1">
        <v>2864403.75</v>
      </c>
      <c r="J421" s="1">
        <v>50808.896999999997</v>
      </c>
      <c r="K421" s="1">
        <f>_SELECT_u_city_AS_Город_TO_CHAR_f_rental_start_YYYY_MM_AS_Месяц__202609232054[[#This Row],[Чистая Выручка]] * (1 + $B$4)</f>
        <v>2864403.75</v>
      </c>
      <c r="L421" s="1">
        <f>_SELECT_u_city_AS_Город_TO_CHAR_f_rental_start_YYYY_MM_AS_Месяц__202609232054[[#This Row],[Расходы на Ремонт]] * (1 + $B$5)</f>
        <v>50808.896999999997</v>
      </c>
      <c r="M42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2813594.8530000001</v>
      </c>
    </row>
    <row r="422" spans="3:13" x14ac:dyDescent="0.25">
      <c r="C422" s="1" t="s">
        <v>8</v>
      </c>
      <c r="D422" s="2">
        <v>45931</v>
      </c>
      <c r="E422" s="1" t="s">
        <v>9</v>
      </c>
      <c r="F422">
        <v>4214</v>
      </c>
      <c r="G422" s="1" t="s">
        <v>437</v>
      </c>
      <c r="H422" s="1">
        <v>2916583.5</v>
      </c>
      <c r="I422" s="1">
        <v>2901811.28</v>
      </c>
      <c r="J422" s="1">
        <v>0</v>
      </c>
      <c r="K422" s="1">
        <f>_SELECT_u_city_AS_Город_TO_CHAR_f_rental_start_YYYY_MM_AS_Месяц__202609232054[[#This Row],[Чистая Выручка]] * (1 + $B$4)</f>
        <v>2901811.28</v>
      </c>
      <c r="L422" s="1">
        <f>_SELECT_u_city_AS_Город_TO_CHAR_f_rental_start_YYYY_MM_AS_Месяц__202609232054[[#This Row],[Расходы на Ремонт]] * (1 + $B$5)</f>
        <v>0</v>
      </c>
      <c r="M42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2901811.28</v>
      </c>
    </row>
    <row r="423" spans="3:13" x14ac:dyDescent="0.25">
      <c r="C423" s="1" t="s">
        <v>8</v>
      </c>
      <c r="D423" s="2">
        <v>45931</v>
      </c>
      <c r="E423" s="1" t="s">
        <v>11</v>
      </c>
      <c r="F423">
        <v>4165</v>
      </c>
      <c r="G423" s="1" t="s">
        <v>438</v>
      </c>
      <c r="H423" s="1">
        <v>2936611.5</v>
      </c>
      <c r="I423" s="1">
        <v>2922805.27</v>
      </c>
      <c r="J423" s="1">
        <v>144221.875</v>
      </c>
      <c r="K423" s="1">
        <f>_SELECT_u_city_AS_Город_TO_CHAR_f_rental_start_YYYY_MM_AS_Месяц__202609232054[[#This Row],[Чистая Выручка]] * (1 + $B$4)</f>
        <v>2922805.27</v>
      </c>
      <c r="L423" s="1">
        <f>_SELECT_u_city_AS_Город_TO_CHAR_f_rental_start_YYYY_MM_AS_Месяц__202609232054[[#This Row],[Расходы на Ремонт]] * (1 + $B$5)</f>
        <v>144221.875</v>
      </c>
      <c r="M42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2778583.395</v>
      </c>
    </row>
    <row r="424" spans="3:13" x14ac:dyDescent="0.25">
      <c r="C424" s="1" t="s">
        <v>8</v>
      </c>
      <c r="D424" s="2">
        <v>45931</v>
      </c>
      <c r="E424" s="1" t="s">
        <v>13</v>
      </c>
      <c r="F424">
        <v>4244</v>
      </c>
      <c r="G424" s="1" t="s">
        <v>439</v>
      </c>
      <c r="H424" s="1">
        <v>2960013.5</v>
      </c>
      <c r="I424" s="1">
        <v>2945785.91</v>
      </c>
      <c r="J424" s="1">
        <v>69033.3</v>
      </c>
      <c r="K424" s="1">
        <f>_SELECT_u_city_AS_Город_TO_CHAR_f_rental_start_YYYY_MM_AS_Месяц__202609232054[[#This Row],[Чистая Выручка]] * (1 + $B$4)</f>
        <v>2945785.91</v>
      </c>
      <c r="L424" s="1">
        <f>_SELECT_u_city_AS_Город_TO_CHAR_f_rental_start_YYYY_MM_AS_Месяц__202609232054[[#This Row],[Расходы на Ремонт]] * (1 + $B$5)</f>
        <v>69033.3</v>
      </c>
      <c r="M42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2876752.6100000003</v>
      </c>
    </row>
    <row r="425" spans="3:13" x14ac:dyDescent="0.25">
      <c r="C425" s="1" t="s">
        <v>8</v>
      </c>
      <c r="D425" s="2">
        <v>45931</v>
      </c>
      <c r="E425" s="1" t="s">
        <v>15</v>
      </c>
      <c r="F425">
        <v>3973</v>
      </c>
      <c r="G425" s="1" t="s">
        <v>440</v>
      </c>
      <c r="H425" s="1">
        <v>2759540</v>
      </c>
      <c r="I425" s="1">
        <v>2746740.15</v>
      </c>
      <c r="J425" s="1">
        <v>48433.59</v>
      </c>
      <c r="K425" s="1">
        <f>_SELECT_u_city_AS_Город_TO_CHAR_f_rental_start_YYYY_MM_AS_Месяц__202609232054[[#This Row],[Чистая Выручка]] * (1 + $B$4)</f>
        <v>2746740.15</v>
      </c>
      <c r="L425" s="1">
        <f>_SELECT_u_city_AS_Город_TO_CHAR_f_rental_start_YYYY_MM_AS_Месяц__202609232054[[#This Row],[Расходы на Ремонт]] * (1 + $B$5)</f>
        <v>48433.59</v>
      </c>
      <c r="M42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2698306.56</v>
      </c>
    </row>
    <row r="426" spans="3:13" x14ac:dyDescent="0.25">
      <c r="C426" s="1" t="s">
        <v>17</v>
      </c>
      <c r="D426" s="2">
        <v>45931</v>
      </c>
      <c r="E426" s="1" t="s">
        <v>9</v>
      </c>
      <c r="F426">
        <v>4285</v>
      </c>
      <c r="G426" s="1" t="s">
        <v>441</v>
      </c>
      <c r="H426" s="1">
        <v>2987489</v>
      </c>
      <c r="I426" s="1">
        <v>2973439.52</v>
      </c>
      <c r="J426" s="1">
        <v>0</v>
      </c>
      <c r="K426" s="1">
        <f>_SELECT_u_city_AS_Город_TO_CHAR_f_rental_start_YYYY_MM_AS_Месяц__202609232054[[#This Row],[Чистая Выручка]] * (1 + $B$4)</f>
        <v>2973439.52</v>
      </c>
      <c r="L426" s="1">
        <f>_SELECT_u_city_AS_Город_TO_CHAR_f_rental_start_YYYY_MM_AS_Месяц__202609232054[[#This Row],[Расходы на Ремонт]] * (1 + $B$5)</f>
        <v>0</v>
      </c>
      <c r="M42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2973439.52</v>
      </c>
    </row>
    <row r="427" spans="3:13" x14ac:dyDescent="0.25">
      <c r="C427" s="1" t="s">
        <v>17</v>
      </c>
      <c r="D427" s="2">
        <v>45931</v>
      </c>
      <c r="E427" s="1" t="s">
        <v>11</v>
      </c>
      <c r="F427">
        <v>4170</v>
      </c>
      <c r="G427" s="1" t="s">
        <v>442</v>
      </c>
      <c r="H427" s="1">
        <v>2905379.5</v>
      </c>
      <c r="I427" s="1">
        <v>2891180.55</v>
      </c>
      <c r="J427" s="1">
        <v>143603.65</v>
      </c>
      <c r="K427" s="1">
        <f>_SELECT_u_city_AS_Город_TO_CHAR_f_rental_start_YYYY_MM_AS_Месяц__202609232054[[#This Row],[Чистая Выручка]] * (1 + $B$4)</f>
        <v>2891180.55</v>
      </c>
      <c r="L427" s="1">
        <f>_SELECT_u_city_AS_Город_TO_CHAR_f_rental_start_YYYY_MM_AS_Месяц__202609232054[[#This Row],[Расходы на Ремонт]] * (1 + $B$5)</f>
        <v>143603.65</v>
      </c>
      <c r="M42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2747576.9</v>
      </c>
    </row>
    <row r="428" spans="3:13" x14ac:dyDescent="0.25">
      <c r="C428" s="1" t="s">
        <v>17</v>
      </c>
      <c r="D428" s="2">
        <v>45931</v>
      </c>
      <c r="E428" s="1" t="s">
        <v>13</v>
      </c>
      <c r="F428">
        <v>4292</v>
      </c>
      <c r="G428" s="1" t="s">
        <v>443</v>
      </c>
      <c r="H428" s="1">
        <v>2975715</v>
      </c>
      <c r="I428" s="1">
        <v>2961724.78</v>
      </c>
      <c r="J428" s="1">
        <v>69702.816000000006</v>
      </c>
      <c r="K428" s="1">
        <f>_SELECT_u_city_AS_Город_TO_CHAR_f_rental_start_YYYY_MM_AS_Месяц__202609232054[[#This Row],[Чистая Выручка]] * (1 + $B$4)</f>
        <v>2961724.78</v>
      </c>
      <c r="L428" s="1">
        <f>_SELECT_u_city_AS_Город_TO_CHAR_f_rental_start_YYYY_MM_AS_Месяц__202609232054[[#This Row],[Расходы на Ремонт]] * (1 + $B$5)</f>
        <v>69702.816000000006</v>
      </c>
      <c r="M42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2892021.9639999997</v>
      </c>
    </row>
    <row r="429" spans="3:13" x14ac:dyDescent="0.25">
      <c r="C429" s="1" t="s">
        <v>17</v>
      </c>
      <c r="D429" s="2">
        <v>45931</v>
      </c>
      <c r="E429" s="1" t="s">
        <v>15</v>
      </c>
      <c r="F429">
        <v>4067</v>
      </c>
      <c r="G429" s="1" t="s">
        <v>444</v>
      </c>
      <c r="H429" s="1">
        <v>2867895.5</v>
      </c>
      <c r="I429" s="1">
        <v>2854225.85</v>
      </c>
      <c r="J429" s="1">
        <v>50797.89</v>
      </c>
      <c r="K429" s="1">
        <f>_SELECT_u_city_AS_Город_TO_CHAR_f_rental_start_YYYY_MM_AS_Месяц__202609232054[[#This Row],[Чистая Выручка]] * (1 + $B$4)</f>
        <v>2854225.85</v>
      </c>
      <c r="L429" s="1">
        <f>_SELECT_u_city_AS_Город_TO_CHAR_f_rental_start_YYYY_MM_AS_Месяц__202609232054[[#This Row],[Расходы на Ремонт]] * (1 + $B$5)</f>
        <v>50797.89</v>
      </c>
      <c r="M42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2803427.96</v>
      </c>
    </row>
    <row r="430" spans="3:13" x14ac:dyDescent="0.25">
      <c r="C430" s="1" t="s">
        <v>22</v>
      </c>
      <c r="D430" s="2">
        <v>45931</v>
      </c>
      <c r="E430" s="1" t="s">
        <v>9</v>
      </c>
      <c r="F430">
        <v>4333</v>
      </c>
      <c r="G430" s="1" t="s">
        <v>445</v>
      </c>
      <c r="H430" s="1">
        <v>3017561</v>
      </c>
      <c r="I430" s="1">
        <v>3002857.32</v>
      </c>
      <c r="J430" s="1">
        <v>0</v>
      </c>
      <c r="K430" s="1">
        <f>_SELECT_u_city_AS_Город_TO_CHAR_f_rental_start_YYYY_MM_AS_Месяц__202609232054[[#This Row],[Чистая Выручка]] * (1 + $B$4)</f>
        <v>3002857.32</v>
      </c>
      <c r="L430" s="1">
        <f>_SELECT_u_city_AS_Город_TO_CHAR_f_rental_start_YYYY_MM_AS_Месяц__202609232054[[#This Row],[Расходы на Ремонт]] * (1 + $B$5)</f>
        <v>0</v>
      </c>
      <c r="M43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3002857.32</v>
      </c>
    </row>
    <row r="431" spans="3:13" x14ac:dyDescent="0.25">
      <c r="C431" s="1" t="s">
        <v>22</v>
      </c>
      <c r="D431" s="2">
        <v>45931</v>
      </c>
      <c r="E431" s="1" t="s">
        <v>11</v>
      </c>
      <c r="F431">
        <v>4254</v>
      </c>
      <c r="G431" s="1" t="s">
        <v>446</v>
      </c>
      <c r="H431" s="1">
        <v>2946309</v>
      </c>
      <c r="I431" s="1">
        <v>2932350.72</v>
      </c>
      <c r="J431" s="1">
        <v>143547.5</v>
      </c>
      <c r="K431" s="1">
        <f>_SELECT_u_city_AS_Город_TO_CHAR_f_rental_start_YYYY_MM_AS_Месяц__202609232054[[#This Row],[Чистая Выручка]] * (1 + $B$4)</f>
        <v>2932350.72</v>
      </c>
      <c r="L431" s="1">
        <f>_SELECT_u_city_AS_Город_TO_CHAR_f_rental_start_YYYY_MM_AS_Месяц__202609232054[[#This Row],[Расходы на Ремонт]] * (1 + $B$5)</f>
        <v>143547.5</v>
      </c>
      <c r="M43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2788803.22</v>
      </c>
    </row>
    <row r="432" spans="3:13" x14ac:dyDescent="0.25">
      <c r="C432" s="1" t="s">
        <v>22</v>
      </c>
      <c r="D432" s="2">
        <v>45931</v>
      </c>
      <c r="E432" s="1" t="s">
        <v>13</v>
      </c>
      <c r="F432">
        <v>4294</v>
      </c>
      <c r="G432" s="1" t="s">
        <v>447</v>
      </c>
      <c r="H432" s="1">
        <v>2990892.5</v>
      </c>
      <c r="I432" s="1">
        <v>2977273.23</v>
      </c>
      <c r="J432" s="1">
        <v>69281.676000000007</v>
      </c>
      <c r="K432" s="1">
        <f>_SELECT_u_city_AS_Город_TO_CHAR_f_rental_start_YYYY_MM_AS_Месяц__202609232054[[#This Row],[Чистая Выручка]] * (1 + $B$4)</f>
        <v>2977273.23</v>
      </c>
      <c r="L432" s="1">
        <f>_SELECT_u_city_AS_Город_TO_CHAR_f_rental_start_YYYY_MM_AS_Месяц__202609232054[[#This Row],[Расходы на Ремонт]] * (1 + $B$5)</f>
        <v>69281.676000000007</v>
      </c>
      <c r="M43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2907991.554</v>
      </c>
    </row>
    <row r="433" spans="3:13" x14ac:dyDescent="0.25">
      <c r="C433" s="1" t="s">
        <v>22</v>
      </c>
      <c r="D433" s="2">
        <v>45931</v>
      </c>
      <c r="E433" s="1" t="s">
        <v>15</v>
      </c>
      <c r="F433">
        <v>4211</v>
      </c>
      <c r="G433" s="1" t="s">
        <v>448</v>
      </c>
      <c r="H433" s="1">
        <v>2914389.5</v>
      </c>
      <c r="I433" s="1">
        <v>2899464.86</v>
      </c>
      <c r="J433" s="1">
        <v>50811.408000000003</v>
      </c>
      <c r="K433" s="1">
        <f>_SELECT_u_city_AS_Город_TO_CHAR_f_rental_start_YYYY_MM_AS_Месяц__202609232054[[#This Row],[Чистая Выручка]] * (1 + $B$4)</f>
        <v>2899464.86</v>
      </c>
      <c r="L433" s="1">
        <f>_SELECT_u_city_AS_Город_TO_CHAR_f_rental_start_YYYY_MM_AS_Месяц__202609232054[[#This Row],[Расходы на Ремонт]] * (1 + $B$5)</f>
        <v>50811.408000000003</v>
      </c>
      <c r="M43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2848653.452</v>
      </c>
    </row>
    <row r="434" spans="3:13" x14ac:dyDescent="0.25">
      <c r="C434" s="1" t="s">
        <v>27</v>
      </c>
      <c r="D434" s="2">
        <v>45931</v>
      </c>
      <c r="E434" s="1" t="s">
        <v>9</v>
      </c>
      <c r="F434">
        <v>4090</v>
      </c>
      <c r="G434" s="1" t="s">
        <v>449</v>
      </c>
      <c r="H434" s="1">
        <v>2872131</v>
      </c>
      <c r="I434" s="1">
        <v>2858808.18</v>
      </c>
      <c r="J434" s="1">
        <v>0</v>
      </c>
      <c r="K434" s="1">
        <f>_SELECT_u_city_AS_Город_TO_CHAR_f_rental_start_YYYY_MM_AS_Месяц__202609232054[[#This Row],[Чистая Выручка]] * (1 + $B$4)</f>
        <v>2858808.18</v>
      </c>
      <c r="L434" s="1">
        <f>_SELECT_u_city_AS_Город_TO_CHAR_f_rental_start_YYYY_MM_AS_Месяц__202609232054[[#This Row],[Расходы на Ремонт]] * (1 + $B$5)</f>
        <v>0</v>
      </c>
      <c r="M43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2858808.18</v>
      </c>
    </row>
    <row r="435" spans="3:13" x14ac:dyDescent="0.25">
      <c r="C435" s="1" t="s">
        <v>27</v>
      </c>
      <c r="D435" s="2">
        <v>45931</v>
      </c>
      <c r="E435" s="1" t="s">
        <v>11</v>
      </c>
      <c r="F435">
        <v>4136</v>
      </c>
      <c r="G435" s="1" t="s">
        <v>450</v>
      </c>
      <c r="H435" s="1">
        <v>2902736</v>
      </c>
      <c r="I435" s="1">
        <v>2889281.42</v>
      </c>
      <c r="J435" s="1">
        <v>141712.77499999999</v>
      </c>
      <c r="K435" s="1">
        <f>_SELECT_u_city_AS_Город_TO_CHAR_f_rental_start_YYYY_MM_AS_Месяц__202609232054[[#This Row],[Чистая Выручка]] * (1 + $B$4)</f>
        <v>2889281.42</v>
      </c>
      <c r="L435" s="1">
        <f>_SELECT_u_city_AS_Город_TO_CHAR_f_rental_start_YYYY_MM_AS_Месяц__202609232054[[#This Row],[Расходы на Ремонт]] * (1 + $B$5)</f>
        <v>141712.77499999999</v>
      </c>
      <c r="M43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2747568.645</v>
      </c>
    </row>
    <row r="436" spans="3:13" x14ac:dyDescent="0.25">
      <c r="C436" s="1" t="s">
        <v>27</v>
      </c>
      <c r="D436" s="2">
        <v>45931</v>
      </c>
      <c r="E436" s="1" t="s">
        <v>13</v>
      </c>
      <c r="F436">
        <v>4229</v>
      </c>
      <c r="G436" s="1" t="s">
        <v>451</v>
      </c>
      <c r="H436" s="1">
        <v>2936235</v>
      </c>
      <c r="I436" s="1">
        <v>2921890.43</v>
      </c>
      <c r="J436" s="1">
        <v>69409.331999999995</v>
      </c>
      <c r="K436" s="1">
        <f>_SELECT_u_city_AS_Город_TO_CHAR_f_rental_start_YYYY_MM_AS_Месяц__202609232054[[#This Row],[Чистая Выручка]] * (1 + $B$4)</f>
        <v>2921890.43</v>
      </c>
      <c r="L436" s="1">
        <f>_SELECT_u_city_AS_Город_TO_CHAR_f_rental_start_YYYY_MM_AS_Месяц__202609232054[[#This Row],[Расходы на Ремонт]] * (1 + $B$5)</f>
        <v>69409.331999999995</v>
      </c>
      <c r="M43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2852481.0980000002</v>
      </c>
    </row>
    <row r="437" spans="3:13" x14ac:dyDescent="0.25">
      <c r="C437" s="1" t="s">
        <v>27</v>
      </c>
      <c r="D437" s="2">
        <v>45931</v>
      </c>
      <c r="E437" s="1" t="s">
        <v>15</v>
      </c>
      <c r="F437">
        <v>4097</v>
      </c>
      <c r="G437" s="1" t="s">
        <v>452</v>
      </c>
      <c r="H437" s="1">
        <v>2864987.5</v>
      </c>
      <c r="I437" s="1">
        <v>2850938.63</v>
      </c>
      <c r="J437" s="1">
        <v>49779.881999999998</v>
      </c>
      <c r="K437" s="1">
        <f>_SELECT_u_city_AS_Город_TO_CHAR_f_rental_start_YYYY_MM_AS_Месяц__202609232054[[#This Row],[Чистая Выручка]] * (1 + $B$4)</f>
        <v>2850938.63</v>
      </c>
      <c r="L437" s="1">
        <f>_SELECT_u_city_AS_Город_TO_CHAR_f_rental_start_YYYY_MM_AS_Месяц__202609232054[[#This Row],[Расходы на Ремонт]] * (1 + $B$5)</f>
        <v>49779.881999999998</v>
      </c>
      <c r="M43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2801158.7479999997</v>
      </c>
    </row>
    <row r="438" spans="3:13" x14ac:dyDescent="0.25">
      <c r="C438" s="1" t="s">
        <v>32</v>
      </c>
      <c r="D438" s="2">
        <v>45931</v>
      </c>
      <c r="E438" s="1" t="s">
        <v>9</v>
      </c>
      <c r="F438">
        <v>4214</v>
      </c>
      <c r="G438" s="1" t="s">
        <v>453</v>
      </c>
      <c r="H438" s="1">
        <v>2941649</v>
      </c>
      <c r="I438" s="1">
        <v>2927924.68</v>
      </c>
      <c r="J438" s="1">
        <v>0</v>
      </c>
      <c r="K438" s="1">
        <f>_SELECT_u_city_AS_Город_TO_CHAR_f_rental_start_YYYY_MM_AS_Месяц__202609232054[[#This Row],[Чистая Выручка]] * (1 + $B$4)</f>
        <v>2927924.68</v>
      </c>
      <c r="L438" s="1">
        <f>_SELECT_u_city_AS_Город_TO_CHAR_f_rental_start_YYYY_MM_AS_Месяц__202609232054[[#This Row],[Расходы на Ремонт]] * (1 + $B$5)</f>
        <v>0</v>
      </c>
      <c r="M43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2927924.68</v>
      </c>
    </row>
    <row r="439" spans="3:13" x14ac:dyDescent="0.25">
      <c r="C439" s="1" t="s">
        <v>32</v>
      </c>
      <c r="D439" s="2">
        <v>45931</v>
      </c>
      <c r="E439" s="1" t="s">
        <v>11</v>
      </c>
      <c r="F439">
        <v>4136</v>
      </c>
      <c r="G439" s="1" t="s">
        <v>454</v>
      </c>
      <c r="H439" s="1">
        <v>2870751.5</v>
      </c>
      <c r="I439" s="1">
        <v>2855694.94</v>
      </c>
      <c r="J439" s="1">
        <v>140997.52499999999</v>
      </c>
      <c r="K439" s="1">
        <f>_SELECT_u_city_AS_Город_TO_CHAR_f_rental_start_YYYY_MM_AS_Месяц__202609232054[[#This Row],[Чистая Выручка]] * (1 + $B$4)</f>
        <v>2855694.94</v>
      </c>
      <c r="L439" s="1">
        <f>_SELECT_u_city_AS_Город_TO_CHAR_f_rental_start_YYYY_MM_AS_Месяц__202609232054[[#This Row],[Расходы на Ремонт]] * (1 + $B$5)</f>
        <v>140997.52499999999</v>
      </c>
      <c r="M43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2714697.415</v>
      </c>
    </row>
    <row r="440" spans="3:13" x14ac:dyDescent="0.25">
      <c r="C440" s="1" t="s">
        <v>32</v>
      </c>
      <c r="D440" s="2">
        <v>45931</v>
      </c>
      <c r="E440" s="1" t="s">
        <v>13</v>
      </c>
      <c r="F440">
        <v>4251</v>
      </c>
      <c r="G440" s="1" t="s">
        <v>455</v>
      </c>
      <c r="H440" s="1">
        <v>2979050</v>
      </c>
      <c r="I440" s="1">
        <v>2964648.94</v>
      </c>
      <c r="J440" s="1">
        <v>69818.411999999997</v>
      </c>
      <c r="K440" s="1">
        <f>_SELECT_u_city_AS_Город_TO_CHAR_f_rental_start_YYYY_MM_AS_Месяц__202609232054[[#This Row],[Чистая Выручка]] * (1 + $B$4)</f>
        <v>2964648.94</v>
      </c>
      <c r="L440" s="1">
        <f>_SELECT_u_city_AS_Город_TO_CHAR_f_rental_start_YYYY_MM_AS_Месяц__202609232054[[#This Row],[Расходы на Ремонт]] * (1 + $B$5)</f>
        <v>69818.411999999997</v>
      </c>
      <c r="M44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2894830.5279999999</v>
      </c>
    </row>
    <row r="441" spans="3:13" x14ac:dyDescent="0.25">
      <c r="C441" s="1" t="s">
        <v>32</v>
      </c>
      <c r="D441" s="2">
        <v>45931</v>
      </c>
      <c r="E441" s="1" t="s">
        <v>15</v>
      </c>
      <c r="F441">
        <v>3990</v>
      </c>
      <c r="G441" s="1" t="s">
        <v>456</v>
      </c>
      <c r="H441" s="1">
        <v>2782822.5</v>
      </c>
      <c r="I441" s="1">
        <v>2768564.84</v>
      </c>
      <c r="J441" s="1">
        <v>49188.536999999997</v>
      </c>
      <c r="K441" s="1">
        <f>_SELECT_u_city_AS_Город_TO_CHAR_f_rental_start_YYYY_MM_AS_Месяц__202609232054[[#This Row],[Чистая Выручка]] * (1 + $B$4)</f>
        <v>2768564.84</v>
      </c>
      <c r="L441" s="1">
        <f>_SELECT_u_city_AS_Город_TO_CHAR_f_rental_start_YYYY_MM_AS_Месяц__202609232054[[#This Row],[Расходы на Ремонт]] * (1 + $B$5)</f>
        <v>49188.536999999997</v>
      </c>
      <c r="M44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2719376.3029999998</v>
      </c>
    </row>
    <row r="442" spans="3:13" x14ac:dyDescent="0.25">
      <c r="C442" s="1" t="s">
        <v>8</v>
      </c>
      <c r="D442" s="2">
        <v>45962</v>
      </c>
      <c r="E442" s="1" t="s">
        <v>9</v>
      </c>
      <c r="F442">
        <v>4194</v>
      </c>
      <c r="G442" s="1" t="s">
        <v>457</v>
      </c>
      <c r="H442" s="1">
        <v>2941031</v>
      </c>
      <c r="I442" s="1">
        <v>2926096.97</v>
      </c>
      <c r="J442" s="1">
        <v>0</v>
      </c>
      <c r="K442" s="1">
        <f>_SELECT_u_city_AS_Город_TO_CHAR_f_rental_start_YYYY_MM_AS_Месяц__202609232054[[#This Row],[Чистая Выручка]] * (1 + $B$4)</f>
        <v>2926096.97</v>
      </c>
      <c r="L442" s="1">
        <f>_SELECT_u_city_AS_Город_TO_CHAR_f_rental_start_YYYY_MM_AS_Месяц__202609232054[[#This Row],[Расходы на Ремонт]] * (1 + $B$5)</f>
        <v>0</v>
      </c>
      <c r="M44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2926096.97</v>
      </c>
    </row>
    <row r="443" spans="3:13" x14ac:dyDescent="0.25">
      <c r="C443" s="1" t="s">
        <v>8</v>
      </c>
      <c r="D443" s="2">
        <v>45962</v>
      </c>
      <c r="E443" s="1" t="s">
        <v>11</v>
      </c>
      <c r="F443">
        <v>4171</v>
      </c>
      <c r="G443" s="1" t="s">
        <v>458</v>
      </c>
      <c r="H443" s="1">
        <v>2909700.5</v>
      </c>
      <c r="I443" s="1">
        <v>2896129.05</v>
      </c>
      <c r="J443" s="1">
        <v>141774.52499999999</v>
      </c>
      <c r="K443" s="1">
        <f>_SELECT_u_city_AS_Город_TO_CHAR_f_rental_start_YYYY_MM_AS_Месяц__202609232054[[#This Row],[Чистая Выручка]] * (1 + $B$4)</f>
        <v>2896129.05</v>
      </c>
      <c r="L443" s="1">
        <f>_SELECT_u_city_AS_Город_TO_CHAR_f_rental_start_YYYY_MM_AS_Месяц__202609232054[[#This Row],[Расходы на Ремонт]] * (1 + $B$5)</f>
        <v>141774.52499999999</v>
      </c>
      <c r="M44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2754354.5249999999</v>
      </c>
    </row>
    <row r="444" spans="3:13" x14ac:dyDescent="0.25">
      <c r="C444" s="1" t="s">
        <v>8</v>
      </c>
      <c r="D444" s="2">
        <v>45962</v>
      </c>
      <c r="E444" s="1" t="s">
        <v>13</v>
      </c>
      <c r="F444">
        <v>4264</v>
      </c>
      <c r="G444" s="1" t="s">
        <v>459</v>
      </c>
      <c r="H444" s="1">
        <v>2935625.5</v>
      </c>
      <c r="I444" s="1">
        <v>2921255.59</v>
      </c>
      <c r="J444" s="1">
        <v>69053.604000000007</v>
      </c>
      <c r="K444" s="1">
        <f>_SELECT_u_city_AS_Город_TO_CHAR_f_rental_start_YYYY_MM_AS_Месяц__202609232054[[#This Row],[Чистая Выручка]] * (1 + $B$4)</f>
        <v>2921255.59</v>
      </c>
      <c r="L444" s="1">
        <f>_SELECT_u_city_AS_Город_TO_CHAR_f_rental_start_YYYY_MM_AS_Месяц__202609232054[[#This Row],[Расходы на Ремонт]] * (1 + $B$5)</f>
        <v>69053.604000000007</v>
      </c>
      <c r="M44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2852201.986</v>
      </c>
    </row>
    <row r="445" spans="3:13" x14ac:dyDescent="0.25">
      <c r="C445" s="1" t="s">
        <v>8</v>
      </c>
      <c r="D445" s="2">
        <v>45962</v>
      </c>
      <c r="E445" s="1" t="s">
        <v>15</v>
      </c>
      <c r="F445">
        <v>4175</v>
      </c>
      <c r="G445" s="1" t="s">
        <v>460</v>
      </c>
      <c r="H445" s="1">
        <v>2890395.5</v>
      </c>
      <c r="I445" s="1">
        <v>2875751.12</v>
      </c>
      <c r="J445" s="1">
        <v>50819.832000000002</v>
      </c>
      <c r="K445" s="1">
        <f>_SELECT_u_city_AS_Город_TO_CHAR_f_rental_start_YYYY_MM_AS_Месяц__202609232054[[#This Row],[Чистая Выручка]] * (1 + $B$4)</f>
        <v>2875751.12</v>
      </c>
      <c r="L445" s="1">
        <f>_SELECT_u_city_AS_Город_TO_CHAR_f_rental_start_YYYY_MM_AS_Месяц__202609232054[[#This Row],[Расходы на Ремонт]] * (1 + $B$5)</f>
        <v>50819.832000000002</v>
      </c>
      <c r="M44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2824931.2880000002</v>
      </c>
    </row>
    <row r="446" spans="3:13" x14ac:dyDescent="0.25">
      <c r="C446" s="1" t="s">
        <v>17</v>
      </c>
      <c r="D446" s="2">
        <v>45962</v>
      </c>
      <c r="E446" s="1" t="s">
        <v>9</v>
      </c>
      <c r="F446">
        <v>4281</v>
      </c>
      <c r="G446" s="1" t="s">
        <v>461</v>
      </c>
      <c r="H446" s="1">
        <v>2984233</v>
      </c>
      <c r="I446" s="1">
        <v>2970112.95</v>
      </c>
      <c r="J446" s="1">
        <v>0</v>
      </c>
      <c r="K446" s="1">
        <f>_SELECT_u_city_AS_Город_TO_CHAR_f_rental_start_YYYY_MM_AS_Месяц__202609232054[[#This Row],[Чистая Выручка]] * (1 + $B$4)</f>
        <v>2970112.95</v>
      </c>
      <c r="L446" s="1">
        <f>_SELECT_u_city_AS_Город_TO_CHAR_f_rental_start_YYYY_MM_AS_Месяц__202609232054[[#This Row],[Расходы на Ремонт]] * (1 + $B$5)</f>
        <v>0</v>
      </c>
      <c r="M44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2970112.95</v>
      </c>
    </row>
    <row r="447" spans="3:13" x14ac:dyDescent="0.25">
      <c r="C447" s="1" t="s">
        <v>17</v>
      </c>
      <c r="D447" s="2">
        <v>45962</v>
      </c>
      <c r="E447" s="1" t="s">
        <v>11</v>
      </c>
      <c r="F447">
        <v>4243</v>
      </c>
      <c r="G447" s="1" t="s">
        <v>462</v>
      </c>
      <c r="H447" s="1">
        <v>2950888.5</v>
      </c>
      <c r="I447" s="1">
        <v>2937711.05</v>
      </c>
      <c r="J447" s="1">
        <v>143874.625</v>
      </c>
      <c r="K447" s="1">
        <f>_SELECT_u_city_AS_Город_TO_CHAR_f_rental_start_YYYY_MM_AS_Месяц__202609232054[[#This Row],[Чистая Выручка]] * (1 + $B$4)</f>
        <v>2937711.05</v>
      </c>
      <c r="L447" s="1">
        <f>_SELECT_u_city_AS_Город_TO_CHAR_f_rental_start_YYYY_MM_AS_Месяц__202609232054[[#This Row],[Расходы на Ремонт]] * (1 + $B$5)</f>
        <v>143874.625</v>
      </c>
      <c r="M44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2793836.4249999998</v>
      </c>
    </row>
    <row r="448" spans="3:13" x14ac:dyDescent="0.25">
      <c r="C448" s="1" t="s">
        <v>17</v>
      </c>
      <c r="D448" s="2">
        <v>45962</v>
      </c>
      <c r="E448" s="1" t="s">
        <v>13</v>
      </c>
      <c r="F448">
        <v>4210</v>
      </c>
      <c r="G448" s="1" t="s">
        <v>463</v>
      </c>
      <c r="H448" s="1">
        <v>2957840</v>
      </c>
      <c r="I448" s="1">
        <v>2943963.02</v>
      </c>
      <c r="J448" s="1">
        <v>68668.932000000001</v>
      </c>
      <c r="K448" s="1">
        <f>_SELECT_u_city_AS_Город_TO_CHAR_f_rental_start_YYYY_MM_AS_Месяц__202609232054[[#This Row],[Чистая Выручка]] * (1 + $B$4)</f>
        <v>2943963.02</v>
      </c>
      <c r="L448" s="1">
        <f>_SELECT_u_city_AS_Город_TO_CHAR_f_rental_start_YYYY_MM_AS_Месяц__202609232054[[#This Row],[Расходы на Ремонт]] * (1 + $B$5)</f>
        <v>68668.932000000001</v>
      </c>
      <c r="M44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2875294.088</v>
      </c>
    </row>
    <row r="449" spans="3:13" x14ac:dyDescent="0.25">
      <c r="C449" s="1" t="s">
        <v>17</v>
      </c>
      <c r="D449" s="2">
        <v>45962</v>
      </c>
      <c r="E449" s="1" t="s">
        <v>15</v>
      </c>
      <c r="F449">
        <v>4113</v>
      </c>
      <c r="G449" s="1" t="s">
        <v>464</v>
      </c>
      <c r="H449" s="1">
        <v>2844292.5</v>
      </c>
      <c r="I449" s="1">
        <v>2829946.43</v>
      </c>
      <c r="J449" s="1">
        <v>49761.684000000001</v>
      </c>
      <c r="K449" s="1">
        <f>_SELECT_u_city_AS_Город_TO_CHAR_f_rental_start_YYYY_MM_AS_Месяц__202609232054[[#This Row],[Чистая Выручка]] * (1 + $B$4)</f>
        <v>2829946.43</v>
      </c>
      <c r="L449" s="1">
        <f>_SELECT_u_city_AS_Город_TO_CHAR_f_rental_start_YYYY_MM_AS_Месяц__202609232054[[#This Row],[Расходы на Ремонт]] * (1 + $B$5)</f>
        <v>49761.684000000001</v>
      </c>
      <c r="M44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2780184.7460000003</v>
      </c>
    </row>
    <row r="450" spans="3:13" x14ac:dyDescent="0.25">
      <c r="C450" s="1" t="s">
        <v>22</v>
      </c>
      <c r="D450" s="2">
        <v>45962</v>
      </c>
      <c r="E450" s="1" t="s">
        <v>9</v>
      </c>
      <c r="F450">
        <v>4376</v>
      </c>
      <c r="G450" s="1" t="s">
        <v>465</v>
      </c>
      <c r="H450" s="1">
        <v>3060568.5</v>
      </c>
      <c r="I450" s="1">
        <v>3045614.51</v>
      </c>
      <c r="J450" s="1">
        <v>0</v>
      </c>
      <c r="K450" s="1">
        <f>_SELECT_u_city_AS_Город_TO_CHAR_f_rental_start_YYYY_MM_AS_Месяц__202609232054[[#This Row],[Чистая Выручка]] * (1 + $B$4)</f>
        <v>3045614.51</v>
      </c>
      <c r="L450" s="1">
        <f>_SELECT_u_city_AS_Город_TO_CHAR_f_rental_start_YYYY_MM_AS_Месяц__202609232054[[#This Row],[Расходы на Ремонт]] * (1 + $B$5)</f>
        <v>0</v>
      </c>
      <c r="M45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3045614.51</v>
      </c>
    </row>
    <row r="451" spans="3:13" x14ac:dyDescent="0.25">
      <c r="C451" s="1" t="s">
        <v>22</v>
      </c>
      <c r="D451" s="2">
        <v>45962</v>
      </c>
      <c r="E451" s="1" t="s">
        <v>11</v>
      </c>
      <c r="F451">
        <v>4232</v>
      </c>
      <c r="G451" s="1" t="s">
        <v>466</v>
      </c>
      <c r="H451" s="1">
        <v>2949679.5</v>
      </c>
      <c r="I451" s="1">
        <v>2935912.06</v>
      </c>
      <c r="J451" s="1">
        <v>144274.92499999999</v>
      </c>
      <c r="K451" s="1">
        <f>_SELECT_u_city_AS_Город_TO_CHAR_f_rental_start_YYYY_MM_AS_Месяц__202609232054[[#This Row],[Чистая Выручка]] * (1 + $B$4)</f>
        <v>2935912.06</v>
      </c>
      <c r="L451" s="1">
        <f>_SELECT_u_city_AS_Город_TO_CHAR_f_rental_start_YYYY_MM_AS_Месяц__202609232054[[#This Row],[Расходы на Ремонт]] * (1 + $B$5)</f>
        <v>144274.92499999999</v>
      </c>
      <c r="M45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2791637.1350000002</v>
      </c>
    </row>
    <row r="452" spans="3:13" x14ac:dyDescent="0.25">
      <c r="C452" s="1" t="s">
        <v>22</v>
      </c>
      <c r="D452" s="2">
        <v>45962</v>
      </c>
      <c r="E452" s="1" t="s">
        <v>13</v>
      </c>
      <c r="F452">
        <v>4328</v>
      </c>
      <c r="G452" s="1" t="s">
        <v>467</v>
      </c>
      <c r="H452" s="1">
        <v>3003019</v>
      </c>
      <c r="I452" s="1">
        <v>2988452.95</v>
      </c>
      <c r="J452" s="1">
        <v>69617.567999999999</v>
      </c>
      <c r="K452" s="1">
        <f>_SELECT_u_city_AS_Город_TO_CHAR_f_rental_start_YYYY_MM_AS_Месяц__202609232054[[#This Row],[Чистая Выручка]] * (1 + $B$4)</f>
        <v>2988452.95</v>
      </c>
      <c r="L452" s="1">
        <f>_SELECT_u_city_AS_Город_TO_CHAR_f_rental_start_YYYY_MM_AS_Месяц__202609232054[[#This Row],[Расходы на Ремонт]] * (1 + $B$5)</f>
        <v>69617.567999999999</v>
      </c>
      <c r="M45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2918835.3820000002</v>
      </c>
    </row>
    <row r="453" spans="3:13" x14ac:dyDescent="0.25">
      <c r="C453" s="1" t="s">
        <v>22</v>
      </c>
      <c r="D453" s="2">
        <v>45962</v>
      </c>
      <c r="E453" s="1" t="s">
        <v>15</v>
      </c>
      <c r="F453">
        <v>4274</v>
      </c>
      <c r="G453" s="1" t="s">
        <v>468</v>
      </c>
      <c r="H453" s="1">
        <v>2944819</v>
      </c>
      <c r="I453" s="1">
        <v>2931659.85</v>
      </c>
      <c r="J453" s="1">
        <v>52050.663</v>
      </c>
      <c r="K453" s="1">
        <f>_SELECT_u_city_AS_Город_TO_CHAR_f_rental_start_YYYY_MM_AS_Месяц__202609232054[[#This Row],[Чистая Выручка]] * (1 + $B$4)</f>
        <v>2931659.85</v>
      </c>
      <c r="L453" s="1">
        <f>_SELECT_u_city_AS_Город_TO_CHAR_f_rental_start_YYYY_MM_AS_Месяц__202609232054[[#This Row],[Расходы на Ремонт]] * (1 + $B$5)</f>
        <v>52050.663</v>
      </c>
      <c r="M45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2879609.1869999999</v>
      </c>
    </row>
    <row r="454" spans="3:13" x14ac:dyDescent="0.25">
      <c r="C454" s="1" t="s">
        <v>27</v>
      </c>
      <c r="D454" s="2">
        <v>45962</v>
      </c>
      <c r="E454" s="1" t="s">
        <v>9</v>
      </c>
      <c r="F454">
        <v>4150</v>
      </c>
      <c r="G454" s="1" t="s">
        <v>469</v>
      </c>
      <c r="H454" s="1">
        <v>2903760.5</v>
      </c>
      <c r="I454" s="1">
        <v>2890232.53</v>
      </c>
      <c r="J454" s="1">
        <v>0</v>
      </c>
      <c r="K454" s="1">
        <f>_SELECT_u_city_AS_Город_TO_CHAR_f_rental_start_YYYY_MM_AS_Месяц__202609232054[[#This Row],[Чистая Выручка]] * (1 + $B$4)</f>
        <v>2890232.53</v>
      </c>
      <c r="L454" s="1">
        <f>_SELECT_u_city_AS_Город_TO_CHAR_f_rental_start_YYYY_MM_AS_Месяц__202609232054[[#This Row],[Расходы на Ремонт]] * (1 + $B$5)</f>
        <v>0</v>
      </c>
      <c r="M45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2890232.53</v>
      </c>
    </row>
    <row r="455" spans="3:13" x14ac:dyDescent="0.25">
      <c r="C455" s="1" t="s">
        <v>27</v>
      </c>
      <c r="D455" s="2">
        <v>45962</v>
      </c>
      <c r="E455" s="1" t="s">
        <v>11</v>
      </c>
      <c r="F455">
        <v>4080</v>
      </c>
      <c r="G455" s="1" t="s">
        <v>470</v>
      </c>
      <c r="H455" s="1">
        <v>2781818.5</v>
      </c>
      <c r="I455" s="1">
        <v>2768489.28</v>
      </c>
      <c r="J455" s="1">
        <v>139306.4</v>
      </c>
      <c r="K455" s="1">
        <f>_SELECT_u_city_AS_Город_TO_CHAR_f_rental_start_YYYY_MM_AS_Месяц__202609232054[[#This Row],[Чистая Выручка]] * (1 + $B$4)</f>
        <v>2768489.28</v>
      </c>
      <c r="L455" s="1">
        <f>_SELECT_u_city_AS_Город_TO_CHAR_f_rental_start_YYYY_MM_AS_Месяц__202609232054[[#This Row],[Расходы на Ремонт]] * (1 + $B$5)</f>
        <v>139306.4</v>
      </c>
      <c r="M45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2629182.88</v>
      </c>
    </row>
    <row r="456" spans="3:13" x14ac:dyDescent="0.25">
      <c r="C456" s="1" t="s">
        <v>27</v>
      </c>
      <c r="D456" s="2">
        <v>45962</v>
      </c>
      <c r="E456" s="1" t="s">
        <v>13</v>
      </c>
      <c r="F456">
        <v>4178</v>
      </c>
      <c r="G456" s="1" t="s">
        <v>471</v>
      </c>
      <c r="H456" s="1">
        <v>2908478.5</v>
      </c>
      <c r="I456" s="1">
        <v>2893401.19</v>
      </c>
      <c r="J456" s="1">
        <v>68165.16</v>
      </c>
      <c r="K456" s="1">
        <f>_SELECT_u_city_AS_Город_TO_CHAR_f_rental_start_YYYY_MM_AS_Месяц__202609232054[[#This Row],[Чистая Выручка]] * (1 + $B$4)</f>
        <v>2893401.19</v>
      </c>
      <c r="L456" s="1">
        <f>_SELECT_u_city_AS_Город_TO_CHAR_f_rental_start_YYYY_MM_AS_Месяц__202609232054[[#This Row],[Расходы на Ремонт]] * (1 + $B$5)</f>
        <v>68165.16</v>
      </c>
      <c r="M45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2825236.03</v>
      </c>
    </row>
    <row r="457" spans="3:13" x14ac:dyDescent="0.25">
      <c r="C457" s="1" t="s">
        <v>27</v>
      </c>
      <c r="D457" s="2">
        <v>45962</v>
      </c>
      <c r="E457" s="1" t="s">
        <v>15</v>
      </c>
      <c r="F457">
        <v>4025</v>
      </c>
      <c r="G457" s="1" t="s">
        <v>472</v>
      </c>
      <c r="H457" s="1">
        <v>2789499</v>
      </c>
      <c r="I457" s="1">
        <v>2776689.26</v>
      </c>
      <c r="J457" s="1">
        <v>49190.247000000003</v>
      </c>
      <c r="K457" s="1">
        <f>_SELECT_u_city_AS_Город_TO_CHAR_f_rental_start_YYYY_MM_AS_Месяц__202609232054[[#This Row],[Чистая Выручка]] * (1 + $B$4)</f>
        <v>2776689.26</v>
      </c>
      <c r="L457" s="1">
        <f>_SELECT_u_city_AS_Город_TO_CHAR_f_rental_start_YYYY_MM_AS_Месяц__202609232054[[#This Row],[Расходы на Ремонт]] * (1 + $B$5)</f>
        <v>49190.247000000003</v>
      </c>
      <c r="M45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2727499.0129999998</v>
      </c>
    </row>
    <row r="458" spans="3:13" x14ac:dyDescent="0.25">
      <c r="C458" s="1" t="s">
        <v>32</v>
      </c>
      <c r="D458" s="2">
        <v>45962</v>
      </c>
      <c r="E458" s="1" t="s">
        <v>9</v>
      </c>
      <c r="F458">
        <v>4206</v>
      </c>
      <c r="G458" s="1" t="s">
        <v>473</v>
      </c>
      <c r="H458" s="1">
        <v>2911836.5</v>
      </c>
      <c r="I458" s="1">
        <v>2897423.66</v>
      </c>
      <c r="J458" s="1">
        <v>0</v>
      </c>
      <c r="K458" s="1">
        <f>_SELECT_u_city_AS_Город_TO_CHAR_f_rental_start_YYYY_MM_AS_Месяц__202609232054[[#This Row],[Чистая Выручка]] * (1 + $B$4)</f>
        <v>2897423.66</v>
      </c>
      <c r="L458" s="1">
        <f>_SELECT_u_city_AS_Город_TO_CHAR_f_rental_start_YYYY_MM_AS_Месяц__202609232054[[#This Row],[Расходы на Ремонт]] * (1 + $B$5)</f>
        <v>0</v>
      </c>
      <c r="M45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2897423.66</v>
      </c>
    </row>
    <row r="459" spans="3:13" x14ac:dyDescent="0.25">
      <c r="C459" s="1" t="s">
        <v>32</v>
      </c>
      <c r="D459" s="2">
        <v>45962</v>
      </c>
      <c r="E459" s="1" t="s">
        <v>11</v>
      </c>
      <c r="F459">
        <v>4146</v>
      </c>
      <c r="G459" s="1" t="s">
        <v>474</v>
      </c>
      <c r="H459" s="1">
        <v>2875638</v>
      </c>
      <c r="I459" s="1">
        <v>2861529.24</v>
      </c>
      <c r="J459" s="1">
        <v>141301.27499999999</v>
      </c>
      <c r="K459" s="1">
        <f>_SELECT_u_city_AS_Город_TO_CHAR_f_rental_start_YYYY_MM_AS_Месяц__202609232054[[#This Row],[Чистая Выручка]] * (1 + $B$4)</f>
        <v>2861529.24</v>
      </c>
      <c r="L459" s="1">
        <f>_SELECT_u_city_AS_Город_TO_CHAR_f_rental_start_YYYY_MM_AS_Месяц__202609232054[[#This Row],[Расходы на Ремонт]] * (1 + $B$5)</f>
        <v>141301.27499999999</v>
      </c>
      <c r="M45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2720227.9650000003</v>
      </c>
    </row>
    <row r="460" spans="3:13" x14ac:dyDescent="0.25">
      <c r="C460" s="1" t="s">
        <v>32</v>
      </c>
      <c r="D460" s="2">
        <v>45962</v>
      </c>
      <c r="E460" s="1" t="s">
        <v>13</v>
      </c>
      <c r="F460">
        <v>4248</v>
      </c>
      <c r="G460" s="1" t="s">
        <v>475</v>
      </c>
      <c r="H460" s="1">
        <v>2960386.5</v>
      </c>
      <c r="I460" s="1">
        <v>2946433.7</v>
      </c>
      <c r="J460" s="1">
        <v>69223.199999999997</v>
      </c>
      <c r="K460" s="1">
        <f>_SELECT_u_city_AS_Город_TO_CHAR_f_rental_start_YYYY_MM_AS_Месяц__202609232054[[#This Row],[Чистая Выручка]] * (1 + $B$4)</f>
        <v>2946433.7</v>
      </c>
      <c r="L460" s="1">
        <f>_SELECT_u_city_AS_Город_TO_CHAR_f_rental_start_YYYY_MM_AS_Месяц__202609232054[[#This Row],[Расходы на Ремонт]] * (1 + $B$5)</f>
        <v>69223.199999999997</v>
      </c>
      <c r="M46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2877210.5</v>
      </c>
    </row>
    <row r="461" spans="3:13" x14ac:dyDescent="0.25">
      <c r="C461" s="1" t="s">
        <v>32</v>
      </c>
      <c r="D461" s="2">
        <v>45962</v>
      </c>
      <c r="E461" s="1" t="s">
        <v>15</v>
      </c>
      <c r="F461">
        <v>4073</v>
      </c>
      <c r="G461" s="1" t="s">
        <v>476</v>
      </c>
      <c r="H461" s="1">
        <v>2820096.5</v>
      </c>
      <c r="I461" s="1">
        <v>2806593.96</v>
      </c>
      <c r="J461" s="1">
        <v>49767.425999999999</v>
      </c>
      <c r="K461" s="1">
        <f>_SELECT_u_city_AS_Город_TO_CHAR_f_rental_start_YYYY_MM_AS_Месяц__202609232054[[#This Row],[Чистая Выручка]] * (1 + $B$4)</f>
        <v>2806593.96</v>
      </c>
      <c r="L461" s="1">
        <f>_SELECT_u_city_AS_Город_TO_CHAR_f_rental_start_YYYY_MM_AS_Месяц__202609232054[[#This Row],[Расходы на Ремонт]] * (1 + $B$5)</f>
        <v>49767.425999999999</v>
      </c>
      <c r="M46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2756826.534</v>
      </c>
    </row>
    <row r="462" spans="3:13" x14ac:dyDescent="0.25">
      <c r="C462" s="1" t="s">
        <v>8</v>
      </c>
      <c r="D462" s="2">
        <v>45992</v>
      </c>
      <c r="E462" s="1" t="s">
        <v>9</v>
      </c>
      <c r="F462">
        <v>4164</v>
      </c>
      <c r="G462" s="1" t="s">
        <v>477</v>
      </c>
      <c r="H462" s="1">
        <v>2927251.5</v>
      </c>
      <c r="I462" s="1">
        <v>2914043.07</v>
      </c>
      <c r="J462" s="1">
        <v>0</v>
      </c>
      <c r="K462" s="1">
        <f>_SELECT_u_city_AS_Город_TO_CHAR_f_rental_start_YYYY_MM_AS_Месяц__202609232054[[#This Row],[Чистая Выручка]] * (1 + $B$4)</f>
        <v>2914043.07</v>
      </c>
      <c r="L462" s="1">
        <f>_SELECT_u_city_AS_Город_TO_CHAR_f_rental_start_YYYY_MM_AS_Месяц__202609232054[[#This Row],[Расходы на Ремонт]] * (1 + $B$5)</f>
        <v>0</v>
      </c>
      <c r="M46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2914043.07</v>
      </c>
    </row>
    <row r="463" spans="3:13" x14ac:dyDescent="0.25">
      <c r="C463" s="1" t="s">
        <v>8</v>
      </c>
      <c r="D463" s="2">
        <v>45992</v>
      </c>
      <c r="E463" s="1" t="s">
        <v>11</v>
      </c>
      <c r="F463">
        <v>4106</v>
      </c>
      <c r="G463" s="1" t="s">
        <v>478</v>
      </c>
      <c r="H463" s="1">
        <v>2827810.5</v>
      </c>
      <c r="I463" s="1">
        <v>2814259.56</v>
      </c>
      <c r="J463" s="1">
        <v>138190.95000000001</v>
      </c>
      <c r="K463" s="1">
        <f>_SELECT_u_city_AS_Город_TO_CHAR_f_rental_start_YYYY_MM_AS_Месяц__202609232054[[#This Row],[Чистая Выручка]] * (1 + $B$4)</f>
        <v>2814259.56</v>
      </c>
      <c r="L463" s="1">
        <f>_SELECT_u_city_AS_Город_TO_CHAR_f_rental_start_YYYY_MM_AS_Месяц__202609232054[[#This Row],[Расходы на Ремонт]] * (1 + $B$5)</f>
        <v>138190.95000000001</v>
      </c>
      <c r="M46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2676068.61</v>
      </c>
    </row>
    <row r="464" spans="3:13" x14ac:dyDescent="0.25">
      <c r="C464" s="1" t="s">
        <v>8</v>
      </c>
      <c r="D464" s="2">
        <v>45992</v>
      </c>
      <c r="E464" s="1" t="s">
        <v>13</v>
      </c>
      <c r="F464">
        <v>4230</v>
      </c>
      <c r="G464" s="1" t="s">
        <v>479</v>
      </c>
      <c r="H464" s="1">
        <v>2964001.5</v>
      </c>
      <c r="I464" s="1">
        <v>2950003.87</v>
      </c>
      <c r="J464" s="1">
        <v>69414.804000000004</v>
      </c>
      <c r="K464" s="1">
        <f>_SELECT_u_city_AS_Город_TO_CHAR_f_rental_start_YYYY_MM_AS_Месяц__202609232054[[#This Row],[Чистая Выручка]] * (1 + $B$4)</f>
        <v>2950003.87</v>
      </c>
      <c r="L464" s="1">
        <f>_SELECT_u_city_AS_Город_TO_CHAR_f_rental_start_YYYY_MM_AS_Месяц__202609232054[[#This Row],[Расходы на Ремонт]] * (1 + $B$5)</f>
        <v>69414.804000000004</v>
      </c>
      <c r="M46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2880589.0660000001</v>
      </c>
    </row>
    <row r="465" spans="3:13" x14ac:dyDescent="0.25">
      <c r="C465" s="1" t="s">
        <v>8</v>
      </c>
      <c r="D465" s="2">
        <v>45992</v>
      </c>
      <c r="E465" s="1" t="s">
        <v>15</v>
      </c>
      <c r="F465">
        <v>4115</v>
      </c>
      <c r="G465" s="1" t="s">
        <v>480</v>
      </c>
      <c r="H465" s="1">
        <v>2869226.5</v>
      </c>
      <c r="I465" s="1">
        <v>2856136.27</v>
      </c>
      <c r="J465" s="1">
        <v>50398.569000000003</v>
      </c>
      <c r="K465" s="1">
        <f>_SELECT_u_city_AS_Город_TO_CHAR_f_rental_start_YYYY_MM_AS_Месяц__202609232054[[#This Row],[Чистая Выручка]] * (1 + $B$4)</f>
        <v>2856136.27</v>
      </c>
      <c r="L465" s="1">
        <f>_SELECT_u_city_AS_Город_TO_CHAR_f_rental_start_YYYY_MM_AS_Месяц__202609232054[[#This Row],[Расходы на Ремонт]] * (1 + $B$5)</f>
        <v>50398.569000000003</v>
      </c>
      <c r="M46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2805737.7009999999</v>
      </c>
    </row>
    <row r="466" spans="3:13" x14ac:dyDescent="0.25">
      <c r="C466" s="1" t="s">
        <v>17</v>
      </c>
      <c r="D466" s="2">
        <v>45992</v>
      </c>
      <c r="E466" s="1" t="s">
        <v>9</v>
      </c>
      <c r="F466">
        <v>4275</v>
      </c>
      <c r="G466" s="1" t="s">
        <v>481</v>
      </c>
      <c r="H466" s="1">
        <v>2979330</v>
      </c>
      <c r="I466" s="1">
        <v>2965788.47</v>
      </c>
      <c r="J466" s="1">
        <v>0</v>
      </c>
      <c r="K466" s="1">
        <f>_SELECT_u_city_AS_Город_TO_CHAR_f_rental_start_YYYY_MM_AS_Месяц__202609232054[[#This Row],[Чистая Выручка]] * (1 + $B$4)</f>
        <v>2965788.47</v>
      </c>
      <c r="L466" s="1">
        <f>_SELECT_u_city_AS_Город_TO_CHAR_f_rental_start_YYYY_MM_AS_Месяц__202609232054[[#This Row],[Расходы на Ремонт]] * (1 + $B$5)</f>
        <v>0</v>
      </c>
      <c r="M46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2965788.47</v>
      </c>
    </row>
    <row r="467" spans="3:13" x14ac:dyDescent="0.25">
      <c r="C467" s="1" t="s">
        <v>17</v>
      </c>
      <c r="D467" s="2">
        <v>45992</v>
      </c>
      <c r="E467" s="1" t="s">
        <v>11</v>
      </c>
      <c r="F467">
        <v>4155</v>
      </c>
      <c r="G467" s="1" t="s">
        <v>482</v>
      </c>
      <c r="H467" s="1">
        <v>2932709</v>
      </c>
      <c r="I467" s="1">
        <v>2919953.71</v>
      </c>
      <c r="J467" s="1">
        <v>144608.15</v>
      </c>
      <c r="K467" s="1">
        <f>_SELECT_u_city_AS_Город_TO_CHAR_f_rental_start_YYYY_MM_AS_Месяц__202609232054[[#This Row],[Чистая Выручка]] * (1 + $B$4)</f>
        <v>2919953.71</v>
      </c>
      <c r="L467" s="1">
        <f>_SELECT_u_city_AS_Город_TO_CHAR_f_rental_start_YYYY_MM_AS_Месяц__202609232054[[#This Row],[Расходы на Ремонт]] * (1 + $B$5)</f>
        <v>144608.15</v>
      </c>
      <c r="M46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2775345.56</v>
      </c>
    </row>
    <row r="468" spans="3:13" x14ac:dyDescent="0.25">
      <c r="C468" s="1" t="s">
        <v>17</v>
      </c>
      <c r="D468" s="2">
        <v>45992</v>
      </c>
      <c r="E468" s="1" t="s">
        <v>13</v>
      </c>
      <c r="F468">
        <v>4265</v>
      </c>
      <c r="G468" s="1" t="s">
        <v>483</v>
      </c>
      <c r="H468" s="1">
        <v>2968781</v>
      </c>
      <c r="I468" s="1">
        <v>2954341.78</v>
      </c>
      <c r="J468" s="1">
        <v>69692.244000000006</v>
      </c>
      <c r="K468" s="1">
        <f>_SELECT_u_city_AS_Город_TO_CHAR_f_rental_start_YYYY_MM_AS_Месяц__202609232054[[#This Row],[Чистая Выручка]] * (1 + $B$4)</f>
        <v>2954341.78</v>
      </c>
      <c r="L468" s="1">
        <f>_SELECT_u_city_AS_Город_TO_CHAR_f_rental_start_YYYY_MM_AS_Месяц__202609232054[[#This Row],[Расходы на Ремонт]] * (1 + $B$5)</f>
        <v>69692.244000000006</v>
      </c>
      <c r="M46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2884649.5359999998</v>
      </c>
    </row>
    <row r="469" spans="3:13" x14ac:dyDescent="0.25">
      <c r="C469" s="1" t="s">
        <v>17</v>
      </c>
      <c r="D469" s="2">
        <v>45992</v>
      </c>
      <c r="E469" s="1" t="s">
        <v>15</v>
      </c>
      <c r="F469">
        <v>4022</v>
      </c>
      <c r="G469" s="1" t="s">
        <v>484</v>
      </c>
      <c r="H469" s="1">
        <v>2784718</v>
      </c>
      <c r="I469" s="1">
        <v>2770026.05</v>
      </c>
      <c r="J469" s="1">
        <v>48879.891000000003</v>
      </c>
      <c r="K469" s="1">
        <f>_SELECT_u_city_AS_Город_TO_CHAR_f_rental_start_YYYY_MM_AS_Месяц__202609232054[[#This Row],[Чистая Выручка]] * (1 + $B$4)</f>
        <v>2770026.05</v>
      </c>
      <c r="L469" s="1">
        <f>_SELECT_u_city_AS_Город_TO_CHAR_f_rental_start_YYYY_MM_AS_Месяц__202609232054[[#This Row],[Расходы на Ремонт]] * (1 + $B$5)</f>
        <v>48879.891000000003</v>
      </c>
      <c r="M46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2721146.159</v>
      </c>
    </row>
    <row r="470" spans="3:13" x14ac:dyDescent="0.25">
      <c r="C470" s="1" t="s">
        <v>22</v>
      </c>
      <c r="D470" s="2">
        <v>45992</v>
      </c>
      <c r="E470" s="1" t="s">
        <v>9</v>
      </c>
      <c r="F470">
        <v>4161</v>
      </c>
      <c r="G470" s="1" t="s">
        <v>485</v>
      </c>
      <c r="H470" s="1">
        <v>2886553</v>
      </c>
      <c r="I470" s="1">
        <v>2872487.55</v>
      </c>
      <c r="J470" s="1">
        <v>0</v>
      </c>
      <c r="K470" s="1">
        <f>_SELECT_u_city_AS_Город_TO_CHAR_f_rental_start_YYYY_MM_AS_Месяц__202609232054[[#This Row],[Чистая Выручка]] * (1 + $B$4)</f>
        <v>2872487.55</v>
      </c>
      <c r="L470" s="1">
        <f>_SELECT_u_city_AS_Город_TO_CHAR_f_rental_start_YYYY_MM_AS_Месяц__202609232054[[#This Row],[Расходы на Ремонт]] * (1 + $B$5)</f>
        <v>0</v>
      </c>
      <c r="M47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2872487.55</v>
      </c>
    </row>
    <row r="471" spans="3:13" x14ac:dyDescent="0.25">
      <c r="C471" s="1" t="s">
        <v>22</v>
      </c>
      <c r="D471" s="2">
        <v>45992</v>
      </c>
      <c r="E471" s="1" t="s">
        <v>11</v>
      </c>
      <c r="F471">
        <v>4234</v>
      </c>
      <c r="G471" s="1" t="s">
        <v>486</v>
      </c>
      <c r="H471" s="1">
        <v>2943747</v>
      </c>
      <c r="I471" s="1">
        <v>2930062.24</v>
      </c>
      <c r="J471" s="1">
        <v>144044.29999999999</v>
      </c>
      <c r="K471" s="1">
        <f>_SELECT_u_city_AS_Город_TO_CHAR_f_rental_start_YYYY_MM_AS_Месяц__202609232054[[#This Row],[Чистая Выручка]] * (1 + $B$4)</f>
        <v>2930062.24</v>
      </c>
      <c r="L471" s="1">
        <f>_SELECT_u_city_AS_Город_TO_CHAR_f_rental_start_YYYY_MM_AS_Месяц__202609232054[[#This Row],[Расходы на Ремонт]] * (1 + $B$5)</f>
        <v>144044.29999999999</v>
      </c>
      <c r="M47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2786017.9400000004</v>
      </c>
    </row>
    <row r="472" spans="3:13" x14ac:dyDescent="0.25">
      <c r="C472" s="1" t="s">
        <v>22</v>
      </c>
      <c r="D472" s="2">
        <v>45992</v>
      </c>
      <c r="E472" s="1" t="s">
        <v>13</v>
      </c>
      <c r="F472">
        <v>4237</v>
      </c>
      <c r="G472" s="1" t="s">
        <v>487</v>
      </c>
      <c r="H472" s="1">
        <v>2968186.5</v>
      </c>
      <c r="I472" s="1">
        <v>2954187.8</v>
      </c>
      <c r="J472" s="1">
        <v>69369.347999999998</v>
      </c>
      <c r="K472" s="1">
        <f>_SELECT_u_city_AS_Город_TO_CHAR_f_rental_start_YYYY_MM_AS_Месяц__202609232054[[#This Row],[Чистая Выручка]] * (1 + $B$4)</f>
        <v>2954187.8</v>
      </c>
      <c r="L472" s="1">
        <f>_SELECT_u_city_AS_Город_TO_CHAR_f_rental_start_YYYY_MM_AS_Месяц__202609232054[[#This Row],[Расходы на Ремонт]] * (1 + $B$5)</f>
        <v>69369.347999999998</v>
      </c>
      <c r="M47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2884818.4519999996</v>
      </c>
    </row>
    <row r="473" spans="3:13" x14ac:dyDescent="0.25">
      <c r="C473" s="1" t="s">
        <v>22</v>
      </c>
      <c r="D473" s="2">
        <v>45992</v>
      </c>
      <c r="E473" s="1" t="s">
        <v>15</v>
      </c>
      <c r="F473">
        <v>4238</v>
      </c>
      <c r="G473" s="1" t="s">
        <v>488</v>
      </c>
      <c r="H473" s="1">
        <v>2926461</v>
      </c>
      <c r="I473" s="1">
        <v>2911274.56</v>
      </c>
      <c r="J473" s="1">
        <v>51533.379000000001</v>
      </c>
      <c r="K473" s="1">
        <f>_SELECT_u_city_AS_Город_TO_CHAR_f_rental_start_YYYY_MM_AS_Месяц__202609232054[[#This Row],[Чистая Выручка]] * (1 + $B$4)</f>
        <v>2911274.56</v>
      </c>
      <c r="L473" s="1">
        <f>_SELECT_u_city_AS_Город_TO_CHAR_f_rental_start_YYYY_MM_AS_Месяц__202609232054[[#This Row],[Расходы на Ремонт]] * (1 + $B$5)</f>
        <v>51533.379000000001</v>
      </c>
      <c r="M47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2859741.1809999999</v>
      </c>
    </row>
    <row r="474" spans="3:13" x14ac:dyDescent="0.25">
      <c r="C474" s="1" t="s">
        <v>27</v>
      </c>
      <c r="D474" s="2">
        <v>45992</v>
      </c>
      <c r="E474" s="1" t="s">
        <v>9</v>
      </c>
      <c r="F474">
        <v>4204</v>
      </c>
      <c r="G474" s="1" t="s">
        <v>489</v>
      </c>
      <c r="H474" s="1">
        <v>2944330.5</v>
      </c>
      <c r="I474" s="1">
        <v>2930028.5</v>
      </c>
      <c r="J474" s="1">
        <v>0</v>
      </c>
      <c r="K474" s="1">
        <f>_SELECT_u_city_AS_Город_TO_CHAR_f_rental_start_YYYY_MM_AS_Месяц__202609232054[[#This Row],[Чистая Выручка]] * (1 + $B$4)</f>
        <v>2930028.5</v>
      </c>
      <c r="L474" s="1">
        <f>_SELECT_u_city_AS_Город_TO_CHAR_f_rental_start_YYYY_MM_AS_Месяц__202609232054[[#This Row],[Расходы на Ремонт]] * (1 + $B$5)</f>
        <v>0</v>
      </c>
      <c r="M47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2930028.5</v>
      </c>
    </row>
    <row r="475" spans="3:13" x14ac:dyDescent="0.25">
      <c r="C475" s="1" t="s">
        <v>27</v>
      </c>
      <c r="D475" s="2">
        <v>45992</v>
      </c>
      <c r="E475" s="1" t="s">
        <v>11</v>
      </c>
      <c r="F475">
        <v>4035</v>
      </c>
      <c r="G475" s="1" t="s">
        <v>490</v>
      </c>
      <c r="H475" s="1">
        <v>2819527.5</v>
      </c>
      <c r="I475" s="1">
        <v>2806084.65</v>
      </c>
      <c r="J475" s="1">
        <v>137066.77499999999</v>
      </c>
      <c r="K475" s="1">
        <f>_SELECT_u_city_AS_Город_TO_CHAR_f_rental_start_YYYY_MM_AS_Месяц__202609232054[[#This Row],[Чистая Выручка]] * (1 + $B$4)</f>
        <v>2806084.65</v>
      </c>
      <c r="L475" s="1">
        <f>_SELECT_u_city_AS_Город_TO_CHAR_f_rental_start_YYYY_MM_AS_Месяц__202609232054[[#This Row],[Расходы на Ремонт]] * (1 + $B$5)</f>
        <v>137066.77499999999</v>
      </c>
      <c r="M47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2669017.875</v>
      </c>
    </row>
    <row r="476" spans="3:13" x14ac:dyDescent="0.25">
      <c r="C476" s="1" t="s">
        <v>27</v>
      </c>
      <c r="D476" s="2">
        <v>45992</v>
      </c>
      <c r="E476" s="1" t="s">
        <v>13</v>
      </c>
      <c r="F476">
        <v>4166</v>
      </c>
      <c r="G476" s="1" t="s">
        <v>491</v>
      </c>
      <c r="H476" s="1">
        <v>2915076</v>
      </c>
      <c r="I476" s="1">
        <v>2901556.06</v>
      </c>
      <c r="J476" s="1">
        <v>67949.304000000004</v>
      </c>
      <c r="K476" s="1">
        <f>_SELECT_u_city_AS_Город_TO_CHAR_f_rental_start_YYYY_MM_AS_Месяц__202609232054[[#This Row],[Чистая Выручка]] * (1 + $B$4)</f>
        <v>2901556.06</v>
      </c>
      <c r="L476" s="1">
        <f>_SELECT_u_city_AS_Город_TO_CHAR_f_rental_start_YYYY_MM_AS_Месяц__202609232054[[#This Row],[Расходы на Ремонт]] * (1 + $B$5)</f>
        <v>67949.304000000004</v>
      </c>
      <c r="M47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2833606.7560000001</v>
      </c>
    </row>
    <row r="477" spans="3:13" x14ac:dyDescent="0.25">
      <c r="C477" s="1" t="s">
        <v>27</v>
      </c>
      <c r="D477" s="2">
        <v>45992</v>
      </c>
      <c r="E477" s="1" t="s">
        <v>15</v>
      </c>
      <c r="F477">
        <v>4123</v>
      </c>
      <c r="G477" s="1" t="s">
        <v>492</v>
      </c>
      <c r="H477" s="1">
        <v>2886315.5</v>
      </c>
      <c r="I477" s="1">
        <v>2873351.85</v>
      </c>
      <c r="J477" s="1">
        <v>50773.779000000002</v>
      </c>
      <c r="K477" s="1">
        <f>_SELECT_u_city_AS_Город_TO_CHAR_f_rental_start_YYYY_MM_AS_Месяц__202609232054[[#This Row],[Чистая Выручка]] * (1 + $B$4)</f>
        <v>2873351.85</v>
      </c>
      <c r="L477" s="1">
        <f>_SELECT_u_city_AS_Город_TO_CHAR_f_rental_start_YYYY_MM_AS_Месяц__202609232054[[#This Row],[Расходы на Ремонт]] * (1 + $B$5)</f>
        <v>50773.779000000002</v>
      </c>
      <c r="M47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2822578.071</v>
      </c>
    </row>
    <row r="478" spans="3:13" x14ac:dyDescent="0.25">
      <c r="C478" s="1" t="s">
        <v>32</v>
      </c>
      <c r="D478" s="2">
        <v>45992</v>
      </c>
      <c r="E478" s="1" t="s">
        <v>9</v>
      </c>
      <c r="F478">
        <v>4158</v>
      </c>
      <c r="G478" s="1" t="s">
        <v>493</v>
      </c>
      <c r="H478" s="1">
        <v>2917266</v>
      </c>
      <c r="I478" s="1">
        <v>2903698.17</v>
      </c>
      <c r="J478" s="1">
        <v>0</v>
      </c>
      <c r="K478" s="1">
        <f>_SELECT_u_city_AS_Город_TO_CHAR_f_rental_start_YYYY_MM_AS_Месяц__202609232054[[#This Row],[Чистая Выручка]] * (1 + $B$4)</f>
        <v>2903698.17</v>
      </c>
      <c r="L478" s="1">
        <f>_SELECT_u_city_AS_Город_TO_CHAR_f_rental_start_YYYY_MM_AS_Месяц__202609232054[[#This Row],[Расходы на Ремонт]] * (1 + $B$5)</f>
        <v>0</v>
      </c>
      <c r="M47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2903698.17</v>
      </c>
    </row>
    <row r="479" spans="3:13" x14ac:dyDescent="0.25">
      <c r="C479" s="1" t="s">
        <v>32</v>
      </c>
      <c r="D479" s="2">
        <v>45992</v>
      </c>
      <c r="E479" s="1" t="s">
        <v>11</v>
      </c>
      <c r="F479">
        <v>4053</v>
      </c>
      <c r="G479" s="1" t="s">
        <v>494</v>
      </c>
      <c r="H479" s="1">
        <v>2797040</v>
      </c>
      <c r="I479" s="1">
        <v>2782427.26</v>
      </c>
      <c r="J479" s="1">
        <v>137361.57500000001</v>
      </c>
      <c r="K479" s="1">
        <f>_SELECT_u_city_AS_Город_TO_CHAR_f_rental_start_YYYY_MM_AS_Месяц__202609232054[[#This Row],[Чистая Выручка]] * (1 + $B$4)</f>
        <v>2782427.26</v>
      </c>
      <c r="L479" s="1">
        <f>_SELECT_u_city_AS_Город_TO_CHAR_f_rental_start_YYYY_MM_AS_Месяц__202609232054[[#This Row],[Расходы на Ремонт]] * (1 + $B$5)</f>
        <v>137361.57500000001</v>
      </c>
      <c r="M47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2645065.6849999996</v>
      </c>
    </row>
    <row r="480" spans="3:13" x14ac:dyDescent="0.25">
      <c r="C480" s="1" t="s">
        <v>32</v>
      </c>
      <c r="D480" s="2">
        <v>45992</v>
      </c>
      <c r="E480" s="1" t="s">
        <v>13</v>
      </c>
      <c r="F480">
        <v>4187</v>
      </c>
      <c r="G480" s="1" t="s">
        <v>495</v>
      </c>
      <c r="H480" s="1">
        <v>2931118.5</v>
      </c>
      <c r="I480" s="1">
        <v>2917617.34</v>
      </c>
      <c r="J480" s="1">
        <v>69075.804000000004</v>
      </c>
      <c r="K480" s="1">
        <f>_SELECT_u_city_AS_Город_TO_CHAR_f_rental_start_YYYY_MM_AS_Месяц__202609232054[[#This Row],[Чистая Выручка]] * (1 + $B$4)</f>
        <v>2917617.34</v>
      </c>
      <c r="L480" s="1">
        <f>_SELECT_u_city_AS_Город_TO_CHAR_f_rental_start_YYYY_MM_AS_Месяц__202609232054[[#This Row],[Расходы на Ремонт]] * (1 + $B$5)</f>
        <v>69075.804000000004</v>
      </c>
      <c r="M48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2848541.5359999998</v>
      </c>
    </row>
    <row r="481" spans="3:13" x14ac:dyDescent="0.25">
      <c r="C481" s="1" t="s">
        <v>32</v>
      </c>
      <c r="D481" s="2">
        <v>45992</v>
      </c>
      <c r="E481" s="1" t="s">
        <v>15</v>
      </c>
      <c r="F481">
        <v>4186</v>
      </c>
      <c r="G481" s="1" t="s">
        <v>496</v>
      </c>
      <c r="H481" s="1">
        <v>2903845</v>
      </c>
      <c r="I481" s="1">
        <v>2889800.46</v>
      </c>
      <c r="J481" s="1">
        <v>50756.120999999999</v>
      </c>
      <c r="K481" s="1">
        <f>_SELECT_u_city_AS_Город_TO_CHAR_f_rental_start_YYYY_MM_AS_Месяц__202609232054[[#This Row],[Чистая Выручка]] * (1 + $B$4)</f>
        <v>2889800.46</v>
      </c>
      <c r="L481" s="1">
        <f>_SELECT_u_city_AS_Город_TO_CHAR_f_rental_start_YYYY_MM_AS_Месяц__202609232054[[#This Row],[Расходы на Ремонт]] * (1 + $B$5)</f>
        <v>50756.120999999999</v>
      </c>
      <c r="M48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2839044.3390000002</v>
      </c>
    </row>
    <row r="482" spans="3:13" x14ac:dyDescent="0.25">
      <c r="C482" s="1" t="s">
        <v>8</v>
      </c>
      <c r="D482" s="2">
        <v>46023</v>
      </c>
      <c r="E482" s="1" t="s">
        <v>9</v>
      </c>
      <c r="F482">
        <v>4203</v>
      </c>
      <c r="G482" s="1" t="s">
        <v>497</v>
      </c>
      <c r="H482" s="1">
        <v>2956514.5</v>
      </c>
      <c r="I482" s="1">
        <v>2942850.25</v>
      </c>
      <c r="J482" s="1">
        <v>0</v>
      </c>
      <c r="K482" s="1">
        <f>_SELECT_u_city_AS_Город_TO_CHAR_f_rental_start_YYYY_MM_AS_Месяц__202609232054[[#This Row],[Чистая Выручка]] * (1 + $B$4)</f>
        <v>2942850.25</v>
      </c>
      <c r="L482" s="1">
        <f>_SELECT_u_city_AS_Город_TO_CHAR_f_rental_start_YYYY_MM_AS_Месяц__202609232054[[#This Row],[Расходы на Ремонт]] * (1 + $B$5)</f>
        <v>0</v>
      </c>
      <c r="M48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2942850.25</v>
      </c>
    </row>
    <row r="483" spans="3:13" x14ac:dyDescent="0.25">
      <c r="C483" s="1" t="s">
        <v>8</v>
      </c>
      <c r="D483" s="2">
        <v>46023</v>
      </c>
      <c r="E483" s="1" t="s">
        <v>11</v>
      </c>
      <c r="F483">
        <v>4050</v>
      </c>
      <c r="G483" s="1" t="s">
        <v>498</v>
      </c>
      <c r="H483" s="1">
        <v>2802001</v>
      </c>
      <c r="I483" s="1">
        <v>2788943.15</v>
      </c>
      <c r="J483" s="1">
        <v>137369.125</v>
      </c>
      <c r="K483" s="1">
        <f>_SELECT_u_city_AS_Город_TO_CHAR_f_rental_start_YYYY_MM_AS_Месяц__202609232054[[#This Row],[Чистая Выручка]] * (1 + $B$4)</f>
        <v>2788943.15</v>
      </c>
      <c r="L483" s="1">
        <f>_SELECT_u_city_AS_Город_TO_CHAR_f_rental_start_YYYY_MM_AS_Месяц__202609232054[[#This Row],[Расходы на Ремонт]] * (1 + $B$5)</f>
        <v>137369.125</v>
      </c>
      <c r="M48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2651574.0249999999</v>
      </c>
    </row>
    <row r="484" spans="3:13" x14ac:dyDescent="0.25">
      <c r="C484" s="1" t="s">
        <v>8</v>
      </c>
      <c r="D484" s="2">
        <v>46023</v>
      </c>
      <c r="E484" s="1" t="s">
        <v>13</v>
      </c>
      <c r="F484">
        <v>4185</v>
      </c>
      <c r="G484" s="1" t="s">
        <v>499</v>
      </c>
      <c r="H484" s="1">
        <v>2912806</v>
      </c>
      <c r="I484" s="1">
        <v>2899525.09</v>
      </c>
      <c r="J484" s="1">
        <v>68182.763999999996</v>
      </c>
      <c r="K484" s="1">
        <f>_SELECT_u_city_AS_Город_TO_CHAR_f_rental_start_YYYY_MM_AS_Месяц__202609232054[[#This Row],[Чистая Выручка]] * (1 + $B$4)</f>
        <v>2899525.09</v>
      </c>
      <c r="L484" s="1">
        <f>_SELECT_u_city_AS_Город_TO_CHAR_f_rental_start_YYYY_MM_AS_Месяц__202609232054[[#This Row],[Расходы на Ремонт]] * (1 + $B$5)</f>
        <v>68182.763999999996</v>
      </c>
      <c r="M48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2831342.3259999999</v>
      </c>
    </row>
    <row r="485" spans="3:13" x14ac:dyDescent="0.25">
      <c r="C485" s="1" t="s">
        <v>8</v>
      </c>
      <c r="D485" s="2">
        <v>46023</v>
      </c>
      <c r="E485" s="1" t="s">
        <v>15</v>
      </c>
      <c r="F485">
        <v>4067</v>
      </c>
      <c r="G485" s="1" t="s">
        <v>500</v>
      </c>
      <c r="H485" s="1">
        <v>2846337</v>
      </c>
      <c r="I485" s="1">
        <v>2833470.17</v>
      </c>
      <c r="J485" s="1">
        <v>50292.909</v>
      </c>
      <c r="K485" s="1">
        <f>_SELECT_u_city_AS_Город_TO_CHAR_f_rental_start_YYYY_MM_AS_Месяц__202609232054[[#This Row],[Чистая Выручка]] * (1 + $B$4)</f>
        <v>2833470.17</v>
      </c>
      <c r="L485" s="1">
        <f>_SELECT_u_city_AS_Город_TO_CHAR_f_rental_start_YYYY_MM_AS_Месяц__202609232054[[#This Row],[Расходы на Ремонт]] * (1 + $B$5)</f>
        <v>50292.909</v>
      </c>
      <c r="M48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2783177.2609999999</v>
      </c>
    </row>
    <row r="486" spans="3:13" x14ac:dyDescent="0.25">
      <c r="C486" s="1" t="s">
        <v>17</v>
      </c>
      <c r="D486" s="2">
        <v>46023</v>
      </c>
      <c r="E486" s="1" t="s">
        <v>9</v>
      </c>
      <c r="F486">
        <v>4163</v>
      </c>
      <c r="G486" s="1" t="s">
        <v>501</v>
      </c>
      <c r="H486" s="1">
        <v>2900499</v>
      </c>
      <c r="I486" s="1">
        <v>2886656.12</v>
      </c>
      <c r="J486" s="1">
        <v>0</v>
      </c>
      <c r="K486" s="1">
        <f>_SELECT_u_city_AS_Город_TO_CHAR_f_rental_start_YYYY_MM_AS_Месяц__202609232054[[#This Row],[Чистая Выручка]] * (1 + $B$4)</f>
        <v>2886656.12</v>
      </c>
      <c r="L486" s="1">
        <f>_SELECT_u_city_AS_Город_TO_CHAR_f_rental_start_YYYY_MM_AS_Месяц__202609232054[[#This Row],[Расходы на Ремонт]] * (1 + $B$5)</f>
        <v>0</v>
      </c>
      <c r="M48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2886656.12</v>
      </c>
    </row>
    <row r="487" spans="3:13" x14ac:dyDescent="0.25">
      <c r="C487" s="1" t="s">
        <v>17</v>
      </c>
      <c r="D487" s="2">
        <v>46023</v>
      </c>
      <c r="E487" s="1" t="s">
        <v>11</v>
      </c>
      <c r="F487">
        <v>4185</v>
      </c>
      <c r="G487" s="1" t="s">
        <v>502</v>
      </c>
      <c r="H487" s="1">
        <v>2904492.5</v>
      </c>
      <c r="I487" s="1">
        <v>2889327</v>
      </c>
      <c r="J487" s="1">
        <v>140775.79999999999</v>
      </c>
      <c r="K487" s="1">
        <f>_SELECT_u_city_AS_Город_TO_CHAR_f_rental_start_YYYY_MM_AS_Месяц__202609232054[[#This Row],[Чистая Выручка]] * (1 + $B$4)</f>
        <v>2889327</v>
      </c>
      <c r="L487" s="1">
        <f>_SELECT_u_city_AS_Город_TO_CHAR_f_rental_start_YYYY_MM_AS_Месяц__202609232054[[#This Row],[Расходы на Ремонт]] * (1 + $B$5)</f>
        <v>140775.79999999999</v>
      </c>
      <c r="M48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2748551.2</v>
      </c>
    </row>
    <row r="488" spans="3:13" x14ac:dyDescent="0.25">
      <c r="C488" s="1" t="s">
        <v>17</v>
      </c>
      <c r="D488" s="2">
        <v>46023</v>
      </c>
      <c r="E488" s="1" t="s">
        <v>13</v>
      </c>
      <c r="F488">
        <v>4275</v>
      </c>
      <c r="G488" s="1" t="s">
        <v>503</v>
      </c>
      <c r="H488" s="1">
        <v>2964624</v>
      </c>
      <c r="I488" s="1">
        <v>2949906.53</v>
      </c>
      <c r="J488" s="1">
        <v>68945.94</v>
      </c>
      <c r="K488" s="1">
        <f>_SELECT_u_city_AS_Город_TO_CHAR_f_rental_start_YYYY_MM_AS_Месяц__202609232054[[#This Row],[Чистая Выручка]] * (1 + $B$4)</f>
        <v>2949906.53</v>
      </c>
      <c r="L488" s="1">
        <f>_SELECT_u_city_AS_Город_TO_CHAR_f_rental_start_YYYY_MM_AS_Месяц__202609232054[[#This Row],[Расходы на Ремонт]] * (1 + $B$5)</f>
        <v>68945.94</v>
      </c>
      <c r="M48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2880960.59</v>
      </c>
    </row>
    <row r="489" spans="3:13" x14ac:dyDescent="0.25">
      <c r="C489" s="1" t="s">
        <v>17</v>
      </c>
      <c r="D489" s="2">
        <v>46023</v>
      </c>
      <c r="E489" s="1" t="s">
        <v>15</v>
      </c>
      <c r="F489">
        <v>4182</v>
      </c>
      <c r="G489" s="1" t="s">
        <v>504</v>
      </c>
      <c r="H489" s="1">
        <v>2890430.5</v>
      </c>
      <c r="I489" s="1">
        <v>2875931.35</v>
      </c>
      <c r="J489" s="1">
        <v>51132.618000000002</v>
      </c>
      <c r="K489" s="1">
        <f>_SELECT_u_city_AS_Город_TO_CHAR_f_rental_start_YYYY_MM_AS_Месяц__202609232054[[#This Row],[Чистая Выручка]] * (1 + $B$4)</f>
        <v>2875931.35</v>
      </c>
      <c r="L489" s="1">
        <f>_SELECT_u_city_AS_Город_TO_CHAR_f_rental_start_YYYY_MM_AS_Месяц__202609232054[[#This Row],[Расходы на Ремонт]] * (1 + $B$5)</f>
        <v>51132.618000000002</v>
      </c>
      <c r="M48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2824798.7320000003</v>
      </c>
    </row>
    <row r="490" spans="3:13" x14ac:dyDescent="0.25">
      <c r="C490" s="1" t="s">
        <v>22</v>
      </c>
      <c r="D490" s="2">
        <v>46023</v>
      </c>
      <c r="E490" s="1" t="s">
        <v>9</v>
      </c>
      <c r="F490">
        <v>4323</v>
      </c>
      <c r="G490" s="1" t="s">
        <v>505</v>
      </c>
      <c r="H490" s="1">
        <v>3010659</v>
      </c>
      <c r="I490" s="1">
        <v>2995156.14</v>
      </c>
      <c r="J490" s="1">
        <v>0</v>
      </c>
      <c r="K490" s="1">
        <f>_SELECT_u_city_AS_Город_TO_CHAR_f_rental_start_YYYY_MM_AS_Месяц__202609232054[[#This Row],[Чистая Выручка]] * (1 + $B$4)</f>
        <v>2995156.14</v>
      </c>
      <c r="L490" s="1">
        <f>_SELECT_u_city_AS_Город_TO_CHAR_f_rental_start_YYYY_MM_AS_Месяц__202609232054[[#This Row],[Расходы на Ремонт]] * (1 + $B$5)</f>
        <v>0</v>
      </c>
      <c r="M49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2995156.14</v>
      </c>
    </row>
    <row r="491" spans="3:13" x14ac:dyDescent="0.25">
      <c r="C491" s="1" t="s">
        <v>22</v>
      </c>
      <c r="D491" s="2">
        <v>46023</v>
      </c>
      <c r="E491" s="1" t="s">
        <v>11</v>
      </c>
      <c r="F491">
        <v>4174</v>
      </c>
      <c r="G491" s="1" t="s">
        <v>506</v>
      </c>
      <c r="H491" s="1">
        <v>2910519.5</v>
      </c>
      <c r="I491" s="1">
        <v>2895930.53</v>
      </c>
      <c r="J491" s="1">
        <v>143602.97500000001</v>
      </c>
      <c r="K491" s="1">
        <f>_SELECT_u_city_AS_Город_TO_CHAR_f_rental_start_YYYY_MM_AS_Месяц__202609232054[[#This Row],[Чистая Выручка]] * (1 + $B$4)</f>
        <v>2895930.53</v>
      </c>
      <c r="L491" s="1">
        <f>_SELECT_u_city_AS_Город_TO_CHAR_f_rental_start_YYYY_MM_AS_Месяц__202609232054[[#This Row],[Расходы на Ремонт]] * (1 + $B$5)</f>
        <v>143602.97500000001</v>
      </c>
      <c r="M49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2752327.5549999997</v>
      </c>
    </row>
    <row r="492" spans="3:13" x14ac:dyDescent="0.25">
      <c r="C492" s="1" t="s">
        <v>22</v>
      </c>
      <c r="D492" s="2">
        <v>46023</v>
      </c>
      <c r="E492" s="1" t="s">
        <v>13</v>
      </c>
      <c r="F492">
        <v>4321</v>
      </c>
      <c r="G492" s="1" t="s">
        <v>507</v>
      </c>
      <c r="H492" s="1">
        <v>3006700</v>
      </c>
      <c r="I492" s="1">
        <v>2991985.09</v>
      </c>
      <c r="J492" s="1">
        <v>70197.936000000002</v>
      </c>
      <c r="K492" s="1">
        <f>_SELECT_u_city_AS_Город_TO_CHAR_f_rental_start_YYYY_MM_AS_Месяц__202609232054[[#This Row],[Чистая Выручка]] * (1 + $B$4)</f>
        <v>2991985.09</v>
      </c>
      <c r="L492" s="1">
        <f>_SELECT_u_city_AS_Город_TO_CHAR_f_rental_start_YYYY_MM_AS_Месяц__202609232054[[#This Row],[Расходы на Ремонт]] * (1 + $B$5)</f>
        <v>70197.936000000002</v>
      </c>
      <c r="M49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2921787.1539999996</v>
      </c>
    </row>
    <row r="493" spans="3:13" x14ac:dyDescent="0.25">
      <c r="C493" s="1" t="s">
        <v>22</v>
      </c>
      <c r="D493" s="2">
        <v>46023</v>
      </c>
      <c r="E493" s="1" t="s">
        <v>15</v>
      </c>
      <c r="F493">
        <v>4209</v>
      </c>
      <c r="G493" s="1" t="s">
        <v>508</v>
      </c>
      <c r="H493" s="1">
        <v>2946939</v>
      </c>
      <c r="I493" s="1">
        <v>2932306.34</v>
      </c>
      <c r="J493" s="1">
        <v>51385.59</v>
      </c>
      <c r="K493" s="1">
        <f>_SELECT_u_city_AS_Город_TO_CHAR_f_rental_start_YYYY_MM_AS_Месяц__202609232054[[#This Row],[Чистая Выручка]] * (1 + $B$4)</f>
        <v>2932306.34</v>
      </c>
      <c r="L493" s="1">
        <f>_SELECT_u_city_AS_Город_TO_CHAR_f_rental_start_YYYY_MM_AS_Месяц__202609232054[[#This Row],[Расходы на Ремонт]] * (1 + $B$5)</f>
        <v>51385.59</v>
      </c>
      <c r="M49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2880920.75</v>
      </c>
    </row>
    <row r="494" spans="3:13" x14ac:dyDescent="0.25">
      <c r="C494" s="1" t="s">
        <v>27</v>
      </c>
      <c r="D494" s="2">
        <v>46023</v>
      </c>
      <c r="E494" s="1" t="s">
        <v>9</v>
      </c>
      <c r="F494">
        <v>4113</v>
      </c>
      <c r="G494" s="1" t="s">
        <v>509</v>
      </c>
      <c r="H494" s="1">
        <v>2882019</v>
      </c>
      <c r="I494" s="1">
        <v>2868549.98</v>
      </c>
      <c r="J494" s="1">
        <v>0</v>
      </c>
      <c r="K494" s="1">
        <f>_SELECT_u_city_AS_Город_TO_CHAR_f_rental_start_YYYY_MM_AS_Месяц__202609232054[[#This Row],[Чистая Выручка]] * (1 + $B$4)</f>
        <v>2868549.98</v>
      </c>
      <c r="L494" s="1">
        <f>_SELECT_u_city_AS_Город_TO_CHAR_f_rental_start_YYYY_MM_AS_Месяц__202609232054[[#This Row],[Расходы на Ремонт]] * (1 + $B$5)</f>
        <v>0</v>
      </c>
      <c r="M49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2868549.98</v>
      </c>
    </row>
    <row r="495" spans="3:13" x14ac:dyDescent="0.25">
      <c r="C495" s="1" t="s">
        <v>27</v>
      </c>
      <c r="D495" s="2">
        <v>46023</v>
      </c>
      <c r="E495" s="1" t="s">
        <v>11</v>
      </c>
      <c r="F495">
        <v>4212</v>
      </c>
      <c r="G495" s="1" t="s">
        <v>510</v>
      </c>
      <c r="H495" s="1">
        <v>2896073</v>
      </c>
      <c r="I495" s="1">
        <v>2882531.37</v>
      </c>
      <c r="J495" s="1">
        <v>144045.57500000001</v>
      </c>
      <c r="K495" s="1">
        <f>_SELECT_u_city_AS_Город_TO_CHAR_f_rental_start_YYYY_MM_AS_Месяц__202609232054[[#This Row],[Чистая Выручка]] * (1 + $B$4)</f>
        <v>2882531.37</v>
      </c>
      <c r="L495" s="1">
        <f>_SELECT_u_city_AS_Город_TO_CHAR_f_rental_start_YYYY_MM_AS_Месяц__202609232054[[#This Row],[Расходы на Ремонт]] * (1 + $B$5)</f>
        <v>144045.57500000001</v>
      </c>
      <c r="M49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2738485.7949999999</v>
      </c>
    </row>
    <row r="496" spans="3:13" x14ac:dyDescent="0.25">
      <c r="C496" s="1" t="s">
        <v>27</v>
      </c>
      <c r="D496" s="2">
        <v>46023</v>
      </c>
      <c r="E496" s="1" t="s">
        <v>13</v>
      </c>
      <c r="F496">
        <v>4063</v>
      </c>
      <c r="G496" s="1" t="s">
        <v>511</v>
      </c>
      <c r="H496" s="1">
        <v>2847891</v>
      </c>
      <c r="I496" s="1">
        <v>2834246.38</v>
      </c>
      <c r="J496" s="1">
        <v>67135.08</v>
      </c>
      <c r="K496" s="1">
        <f>_SELECT_u_city_AS_Город_TO_CHAR_f_rental_start_YYYY_MM_AS_Месяц__202609232054[[#This Row],[Чистая Выручка]] * (1 + $B$4)</f>
        <v>2834246.38</v>
      </c>
      <c r="L496" s="1">
        <f>_SELECT_u_city_AS_Город_TO_CHAR_f_rental_start_YYYY_MM_AS_Месяц__202609232054[[#This Row],[Расходы на Ремонт]] * (1 + $B$5)</f>
        <v>67135.08</v>
      </c>
      <c r="M49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2767111.3</v>
      </c>
    </row>
    <row r="497" spans="3:13" x14ac:dyDescent="0.25">
      <c r="C497" s="1" t="s">
        <v>27</v>
      </c>
      <c r="D497" s="2">
        <v>46023</v>
      </c>
      <c r="E497" s="1" t="s">
        <v>15</v>
      </c>
      <c r="F497">
        <v>4033</v>
      </c>
      <c r="G497" s="1" t="s">
        <v>512</v>
      </c>
      <c r="H497" s="1">
        <v>2785530</v>
      </c>
      <c r="I497" s="1">
        <v>2771493.35</v>
      </c>
      <c r="J497" s="1">
        <v>49311.044999999998</v>
      </c>
      <c r="K497" s="1">
        <f>_SELECT_u_city_AS_Город_TO_CHAR_f_rental_start_YYYY_MM_AS_Месяц__202609232054[[#This Row],[Чистая Выручка]] * (1 + $B$4)</f>
        <v>2771493.35</v>
      </c>
      <c r="L497" s="1">
        <f>_SELECT_u_city_AS_Город_TO_CHAR_f_rental_start_YYYY_MM_AS_Месяц__202609232054[[#This Row],[Расходы на Ремонт]] * (1 + $B$5)</f>
        <v>49311.044999999998</v>
      </c>
      <c r="M49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2722182.3050000002</v>
      </c>
    </row>
    <row r="498" spans="3:13" x14ac:dyDescent="0.25">
      <c r="C498" s="1" t="s">
        <v>32</v>
      </c>
      <c r="D498" s="2">
        <v>46023</v>
      </c>
      <c r="E498" s="1" t="s">
        <v>9</v>
      </c>
      <c r="F498">
        <v>4118</v>
      </c>
      <c r="G498" s="1" t="s">
        <v>513</v>
      </c>
      <c r="H498" s="1">
        <v>2838721.5</v>
      </c>
      <c r="I498" s="1">
        <v>2824314.53</v>
      </c>
      <c r="J498" s="1">
        <v>0</v>
      </c>
      <c r="K498" s="1">
        <f>_SELECT_u_city_AS_Город_TO_CHAR_f_rental_start_YYYY_MM_AS_Месяц__202609232054[[#This Row],[Чистая Выручка]] * (1 + $B$4)</f>
        <v>2824314.53</v>
      </c>
      <c r="L498" s="1">
        <f>_SELECT_u_city_AS_Город_TO_CHAR_f_rental_start_YYYY_MM_AS_Месяц__202609232054[[#This Row],[Расходы на Ремонт]] * (1 + $B$5)</f>
        <v>0</v>
      </c>
      <c r="M49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2824314.53</v>
      </c>
    </row>
    <row r="499" spans="3:13" x14ac:dyDescent="0.25">
      <c r="C499" s="1" t="s">
        <v>32</v>
      </c>
      <c r="D499" s="2">
        <v>46023</v>
      </c>
      <c r="E499" s="1" t="s">
        <v>11</v>
      </c>
      <c r="F499">
        <v>4236</v>
      </c>
      <c r="G499" s="1" t="s">
        <v>514</v>
      </c>
      <c r="H499" s="1">
        <v>2971196</v>
      </c>
      <c r="I499" s="1">
        <v>2957265.63</v>
      </c>
      <c r="J499" s="1">
        <v>145962.77499999999</v>
      </c>
      <c r="K499" s="1">
        <f>_SELECT_u_city_AS_Город_TO_CHAR_f_rental_start_YYYY_MM_AS_Месяц__202609232054[[#This Row],[Чистая Выручка]] * (1 + $B$4)</f>
        <v>2957265.63</v>
      </c>
      <c r="L499" s="1">
        <f>_SELECT_u_city_AS_Город_TO_CHAR_f_rental_start_YYYY_MM_AS_Месяц__202609232054[[#This Row],[Расходы на Ремонт]] * (1 + $B$5)</f>
        <v>145962.77499999999</v>
      </c>
      <c r="M49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2811302.855</v>
      </c>
    </row>
    <row r="500" spans="3:13" x14ac:dyDescent="0.25">
      <c r="C500" s="1" t="s">
        <v>32</v>
      </c>
      <c r="D500" s="2">
        <v>46023</v>
      </c>
      <c r="E500" s="1" t="s">
        <v>13</v>
      </c>
      <c r="F500">
        <v>4215</v>
      </c>
      <c r="G500" s="1" t="s">
        <v>515</v>
      </c>
      <c r="H500" s="1">
        <v>2975814.5</v>
      </c>
      <c r="I500" s="1">
        <v>2960797.45</v>
      </c>
      <c r="J500" s="1">
        <v>69894.107999999993</v>
      </c>
      <c r="K500" s="1">
        <f>_SELECT_u_city_AS_Город_TO_CHAR_f_rental_start_YYYY_MM_AS_Месяц__202609232054[[#This Row],[Чистая Выручка]] * (1 + $B$4)</f>
        <v>2960797.45</v>
      </c>
      <c r="L500" s="1">
        <f>_SELECT_u_city_AS_Город_TO_CHAR_f_rental_start_YYYY_MM_AS_Месяц__202609232054[[#This Row],[Расходы на Ремонт]] * (1 + $B$5)</f>
        <v>69894.107999999993</v>
      </c>
      <c r="M50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2890903.3420000002</v>
      </c>
    </row>
    <row r="501" spans="3:13" x14ac:dyDescent="0.25">
      <c r="C501" s="1" t="s">
        <v>32</v>
      </c>
      <c r="D501" s="2">
        <v>46023</v>
      </c>
      <c r="E501" s="1" t="s">
        <v>15</v>
      </c>
      <c r="F501">
        <v>4010</v>
      </c>
      <c r="G501" s="1" t="s">
        <v>516</v>
      </c>
      <c r="H501" s="1">
        <v>2786429.5</v>
      </c>
      <c r="I501" s="1">
        <v>2772952.78</v>
      </c>
      <c r="J501" s="1">
        <v>48362.165999999997</v>
      </c>
      <c r="K501" s="1">
        <f>_SELECT_u_city_AS_Город_TO_CHAR_f_rental_start_YYYY_MM_AS_Месяц__202609232054[[#This Row],[Чистая Выручка]] * (1 + $B$4)</f>
        <v>2772952.78</v>
      </c>
      <c r="L501" s="1">
        <f>_SELECT_u_city_AS_Город_TO_CHAR_f_rental_start_YYYY_MM_AS_Месяц__202609232054[[#This Row],[Расходы на Ремонт]] * (1 + $B$5)</f>
        <v>48362.165999999997</v>
      </c>
      <c r="M50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2724590.6139999996</v>
      </c>
    </row>
    <row r="502" spans="3:13" x14ac:dyDescent="0.25">
      <c r="C502" s="1" t="s">
        <v>8</v>
      </c>
      <c r="D502" s="2">
        <v>46054</v>
      </c>
      <c r="E502" s="1" t="s">
        <v>9</v>
      </c>
      <c r="F502">
        <v>3951</v>
      </c>
      <c r="G502" s="1" t="s">
        <v>517</v>
      </c>
      <c r="H502" s="1">
        <v>2768614</v>
      </c>
      <c r="I502" s="1">
        <v>2754705.84</v>
      </c>
      <c r="J502" s="1">
        <v>0</v>
      </c>
      <c r="K502" s="1">
        <f>_SELECT_u_city_AS_Город_TO_CHAR_f_rental_start_YYYY_MM_AS_Месяц__202609232054[[#This Row],[Чистая Выручка]] * (1 + $B$4)</f>
        <v>2754705.84</v>
      </c>
      <c r="L502" s="1">
        <f>_SELECT_u_city_AS_Город_TO_CHAR_f_rental_start_YYYY_MM_AS_Месяц__202609232054[[#This Row],[Расходы на Ремонт]] * (1 + $B$5)</f>
        <v>0</v>
      </c>
      <c r="M50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2754705.84</v>
      </c>
    </row>
    <row r="503" spans="3:13" x14ac:dyDescent="0.25">
      <c r="C503" s="1" t="s">
        <v>8</v>
      </c>
      <c r="D503" s="2">
        <v>46054</v>
      </c>
      <c r="E503" s="1" t="s">
        <v>11</v>
      </c>
      <c r="F503">
        <v>3975</v>
      </c>
      <c r="G503" s="1" t="s">
        <v>518</v>
      </c>
      <c r="H503" s="1">
        <v>2743945</v>
      </c>
      <c r="I503" s="1">
        <v>2730526.99</v>
      </c>
      <c r="J503" s="1">
        <v>136040.67499999999</v>
      </c>
      <c r="K503" s="1">
        <f>_SELECT_u_city_AS_Город_TO_CHAR_f_rental_start_YYYY_MM_AS_Месяц__202609232054[[#This Row],[Чистая Выручка]] * (1 + $B$4)</f>
        <v>2730526.99</v>
      </c>
      <c r="L503" s="1">
        <f>_SELECT_u_city_AS_Город_TO_CHAR_f_rental_start_YYYY_MM_AS_Месяц__202609232054[[#This Row],[Расходы на Ремонт]] * (1 + $B$5)</f>
        <v>136040.67499999999</v>
      </c>
      <c r="M50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2594486.3150000004</v>
      </c>
    </row>
    <row r="504" spans="3:13" x14ac:dyDescent="0.25">
      <c r="C504" s="1" t="s">
        <v>8</v>
      </c>
      <c r="D504" s="2">
        <v>46054</v>
      </c>
      <c r="E504" s="1" t="s">
        <v>13</v>
      </c>
      <c r="F504">
        <v>3998</v>
      </c>
      <c r="G504" s="1" t="s">
        <v>519</v>
      </c>
      <c r="H504" s="1">
        <v>2779540.5</v>
      </c>
      <c r="I504" s="1">
        <v>2765934.88</v>
      </c>
      <c r="J504" s="1">
        <v>65413.872000000003</v>
      </c>
      <c r="K504" s="1">
        <f>_SELECT_u_city_AS_Город_TO_CHAR_f_rental_start_YYYY_MM_AS_Месяц__202609232054[[#This Row],[Чистая Выручка]] * (1 + $B$4)</f>
        <v>2765934.88</v>
      </c>
      <c r="L504" s="1">
        <f>_SELECT_u_city_AS_Город_TO_CHAR_f_rental_start_YYYY_MM_AS_Месяц__202609232054[[#This Row],[Расходы на Ремонт]] * (1 + $B$5)</f>
        <v>65413.872000000003</v>
      </c>
      <c r="M50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2700521.0079999999</v>
      </c>
    </row>
    <row r="505" spans="3:13" x14ac:dyDescent="0.25">
      <c r="C505" s="1" t="s">
        <v>8</v>
      </c>
      <c r="D505" s="2">
        <v>46054</v>
      </c>
      <c r="E505" s="1" t="s">
        <v>15</v>
      </c>
      <c r="F505">
        <v>3735</v>
      </c>
      <c r="G505" s="1" t="s">
        <v>520</v>
      </c>
      <c r="H505" s="1">
        <v>2593964.5</v>
      </c>
      <c r="I505" s="1">
        <v>2581059.11</v>
      </c>
      <c r="J505" s="1">
        <v>45541.548000000003</v>
      </c>
      <c r="K505" s="1">
        <f>_SELECT_u_city_AS_Город_TO_CHAR_f_rental_start_YYYY_MM_AS_Месяц__202609232054[[#This Row],[Чистая Выручка]] * (1 + $B$4)</f>
        <v>2581059.11</v>
      </c>
      <c r="L505" s="1">
        <f>_SELECT_u_city_AS_Город_TO_CHAR_f_rental_start_YYYY_MM_AS_Месяц__202609232054[[#This Row],[Расходы на Ремонт]] * (1 + $B$5)</f>
        <v>45541.548000000003</v>
      </c>
      <c r="M50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2535517.5619999999</v>
      </c>
    </row>
    <row r="506" spans="3:13" x14ac:dyDescent="0.25">
      <c r="C506" s="1" t="s">
        <v>17</v>
      </c>
      <c r="D506" s="2">
        <v>46054</v>
      </c>
      <c r="E506" s="1" t="s">
        <v>9</v>
      </c>
      <c r="F506">
        <v>3967</v>
      </c>
      <c r="G506" s="1" t="s">
        <v>521</v>
      </c>
      <c r="H506" s="1">
        <v>2786668</v>
      </c>
      <c r="I506" s="1">
        <v>2772516.46</v>
      </c>
      <c r="J506" s="1">
        <v>0</v>
      </c>
      <c r="K506" s="1">
        <f>_SELECT_u_city_AS_Город_TO_CHAR_f_rental_start_YYYY_MM_AS_Месяц__202609232054[[#This Row],[Чистая Выручка]] * (1 + $B$4)</f>
        <v>2772516.46</v>
      </c>
      <c r="L506" s="1">
        <f>_SELECT_u_city_AS_Город_TO_CHAR_f_rental_start_YYYY_MM_AS_Месяц__202609232054[[#This Row],[Расходы на Ремонт]] * (1 + $B$5)</f>
        <v>0</v>
      </c>
      <c r="M50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2772516.46</v>
      </c>
    </row>
    <row r="507" spans="3:13" x14ac:dyDescent="0.25">
      <c r="C507" s="1" t="s">
        <v>17</v>
      </c>
      <c r="D507" s="2">
        <v>46054</v>
      </c>
      <c r="E507" s="1" t="s">
        <v>11</v>
      </c>
      <c r="F507">
        <v>3858</v>
      </c>
      <c r="G507" s="1" t="s">
        <v>522</v>
      </c>
      <c r="H507" s="1">
        <v>2684654</v>
      </c>
      <c r="I507" s="1">
        <v>2670610.9900000002</v>
      </c>
      <c r="J507" s="1">
        <v>131875.17499999999</v>
      </c>
      <c r="K507" s="1">
        <f>_SELECT_u_city_AS_Город_TO_CHAR_f_rental_start_YYYY_MM_AS_Месяц__202609232054[[#This Row],[Чистая Выручка]] * (1 + $B$4)</f>
        <v>2670610.9900000002</v>
      </c>
      <c r="L507" s="1">
        <f>_SELECT_u_city_AS_Город_TO_CHAR_f_rental_start_YYYY_MM_AS_Месяц__202609232054[[#This Row],[Расходы на Ремонт]] * (1 + $B$5)</f>
        <v>131875.17499999999</v>
      </c>
      <c r="M50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2538735.8150000004</v>
      </c>
    </row>
    <row r="508" spans="3:13" x14ac:dyDescent="0.25">
      <c r="C508" s="1" t="s">
        <v>17</v>
      </c>
      <c r="D508" s="2">
        <v>46054</v>
      </c>
      <c r="E508" s="1" t="s">
        <v>13</v>
      </c>
      <c r="F508">
        <v>3965</v>
      </c>
      <c r="G508" s="1" t="s">
        <v>523</v>
      </c>
      <c r="H508" s="1">
        <v>2764288</v>
      </c>
      <c r="I508" s="1">
        <v>2750462.99</v>
      </c>
      <c r="J508" s="1">
        <v>64245.084000000003</v>
      </c>
      <c r="K508" s="1">
        <f>_SELECT_u_city_AS_Город_TO_CHAR_f_rental_start_YYYY_MM_AS_Месяц__202609232054[[#This Row],[Чистая Выручка]] * (1 + $B$4)</f>
        <v>2750462.99</v>
      </c>
      <c r="L508" s="1">
        <f>_SELECT_u_city_AS_Город_TO_CHAR_f_rental_start_YYYY_MM_AS_Месяц__202609232054[[#This Row],[Расходы на Ремонт]] * (1 + $B$5)</f>
        <v>64245.084000000003</v>
      </c>
      <c r="M50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2686217.9060000004</v>
      </c>
    </row>
    <row r="509" spans="3:13" x14ac:dyDescent="0.25">
      <c r="C509" s="1" t="s">
        <v>17</v>
      </c>
      <c r="D509" s="2">
        <v>46054</v>
      </c>
      <c r="E509" s="1" t="s">
        <v>15</v>
      </c>
      <c r="F509">
        <v>3876</v>
      </c>
      <c r="G509" s="1" t="s">
        <v>524</v>
      </c>
      <c r="H509" s="1">
        <v>2716005.5</v>
      </c>
      <c r="I509" s="1">
        <v>2703042.85</v>
      </c>
      <c r="J509" s="1">
        <v>47867.048999999999</v>
      </c>
      <c r="K509" s="1">
        <f>_SELECT_u_city_AS_Город_TO_CHAR_f_rental_start_YYYY_MM_AS_Месяц__202609232054[[#This Row],[Чистая Выручка]] * (1 + $B$4)</f>
        <v>2703042.85</v>
      </c>
      <c r="L509" s="1">
        <f>_SELECT_u_city_AS_Город_TO_CHAR_f_rental_start_YYYY_MM_AS_Месяц__202609232054[[#This Row],[Расходы на Ремонт]] * (1 + $B$5)</f>
        <v>47867.048999999999</v>
      </c>
      <c r="M50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2655175.801</v>
      </c>
    </row>
    <row r="510" spans="3:13" x14ac:dyDescent="0.25">
      <c r="C510" s="1" t="s">
        <v>22</v>
      </c>
      <c r="D510" s="2">
        <v>46054</v>
      </c>
      <c r="E510" s="1" t="s">
        <v>9</v>
      </c>
      <c r="F510">
        <v>3992</v>
      </c>
      <c r="G510" s="1" t="s">
        <v>525</v>
      </c>
      <c r="H510" s="1">
        <v>2752004</v>
      </c>
      <c r="I510" s="1">
        <v>2738465.25</v>
      </c>
      <c r="J510" s="1">
        <v>0</v>
      </c>
      <c r="K510" s="1">
        <f>_SELECT_u_city_AS_Город_TO_CHAR_f_rental_start_YYYY_MM_AS_Месяц__202609232054[[#This Row],[Чистая Выручка]] * (1 + $B$4)</f>
        <v>2738465.25</v>
      </c>
      <c r="L510" s="1">
        <f>_SELECT_u_city_AS_Город_TO_CHAR_f_rental_start_YYYY_MM_AS_Месяц__202609232054[[#This Row],[Расходы на Ремонт]] * (1 + $B$5)</f>
        <v>0</v>
      </c>
      <c r="M51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2738465.25</v>
      </c>
    </row>
    <row r="511" spans="3:13" x14ac:dyDescent="0.25">
      <c r="C511" s="1" t="s">
        <v>22</v>
      </c>
      <c r="D511" s="2">
        <v>46054</v>
      </c>
      <c r="E511" s="1" t="s">
        <v>11</v>
      </c>
      <c r="F511">
        <v>4026</v>
      </c>
      <c r="G511" s="1" t="s">
        <v>526</v>
      </c>
      <c r="H511" s="1">
        <v>2802175</v>
      </c>
      <c r="I511" s="1">
        <v>2787662.38</v>
      </c>
      <c r="J511" s="1">
        <v>138556.82500000001</v>
      </c>
      <c r="K511" s="1">
        <f>_SELECT_u_city_AS_Город_TO_CHAR_f_rental_start_YYYY_MM_AS_Месяц__202609232054[[#This Row],[Чистая Выручка]] * (1 + $B$4)</f>
        <v>2787662.38</v>
      </c>
      <c r="L511" s="1">
        <f>_SELECT_u_city_AS_Город_TO_CHAR_f_rental_start_YYYY_MM_AS_Месяц__202609232054[[#This Row],[Расходы на Ремонт]] * (1 + $B$5)</f>
        <v>138556.82500000001</v>
      </c>
      <c r="M51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2649105.5549999997</v>
      </c>
    </row>
    <row r="512" spans="3:13" x14ac:dyDescent="0.25">
      <c r="C512" s="1" t="s">
        <v>22</v>
      </c>
      <c r="D512" s="2">
        <v>46054</v>
      </c>
      <c r="E512" s="1" t="s">
        <v>13</v>
      </c>
      <c r="F512">
        <v>3884</v>
      </c>
      <c r="G512" s="1" t="s">
        <v>527</v>
      </c>
      <c r="H512" s="1">
        <v>2734251.5</v>
      </c>
      <c r="I512" s="1">
        <v>2721071.45</v>
      </c>
      <c r="J512" s="1">
        <v>64458.875999999997</v>
      </c>
      <c r="K512" s="1">
        <f>_SELECT_u_city_AS_Город_TO_CHAR_f_rental_start_YYYY_MM_AS_Месяц__202609232054[[#This Row],[Чистая Выручка]] * (1 + $B$4)</f>
        <v>2721071.45</v>
      </c>
      <c r="L512" s="1">
        <f>_SELECT_u_city_AS_Город_TO_CHAR_f_rental_start_YYYY_MM_AS_Месяц__202609232054[[#This Row],[Расходы на Ремонт]] * (1 + $B$5)</f>
        <v>64458.875999999997</v>
      </c>
      <c r="M51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2656612.574</v>
      </c>
    </row>
    <row r="513" spans="3:13" x14ac:dyDescent="0.25">
      <c r="C513" s="1" t="s">
        <v>22</v>
      </c>
      <c r="D513" s="2">
        <v>46054</v>
      </c>
      <c r="E513" s="1" t="s">
        <v>15</v>
      </c>
      <c r="F513">
        <v>3970</v>
      </c>
      <c r="G513" s="1" t="s">
        <v>528</v>
      </c>
      <c r="H513" s="1">
        <v>2742110</v>
      </c>
      <c r="I513" s="1">
        <v>2729924.39</v>
      </c>
      <c r="J513" s="1">
        <v>48336.372000000003</v>
      </c>
      <c r="K513" s="1">
        <f>_SELECT_u_city_AS_Город_TO_CHAR_f_rental_start_YYYY_MM_AS_Месяц__202609232054[[#This Row],[Чистая Выручка]] * (1 + $B$4)</f>
        <v>2729924.39</v>
      </c>
      <c r="L513" s="1">
        <f>_SELECT_u_city_AS_Город_TO_CHAR_f_rental_start_YYYY_MM_AS_Месяц__202609232054[[#This Row],[Расходы на Ремонт]] * (1 + $B$5)</f>
        <v>48336.372000000003</v>
      </c>
      <c r="M51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2681588.0180000002</v>
      </c>
    </row>
    <row r="514" spans="3:13" x14ac:dyDescent="0.25">
      <c r="C514" s="1" t="s">
        <v>27</v>
      </c>
      <c r="D514" s="2">
        <v>46054</v>
      </c>
      <c r="E514" s="1" t="s">
        <v>9</v>
      </c>
      <c r="F514">
        <v>3820</v>
      </c>
      <c r="G514" s="1" t="s">
        <v>529</v>
      </c>
      <c r="H514" s="1">
        <v>2668357.5</v>
      </c>
      <c r="I514" s="1">
        <v>2655031.8199999998</v>
      </c>
      <c r="J514" s="1">
        <v>0</v>
      </c>
      <c r="K514" s="1">
        <f>_SELECT_u_city_AS_Город_TO_CHAR_f_rental_start_YYYY_MM_AS_Месяц__202609232054[[#This Row],[Чистая Выручка]] * (1 + $B$4)</f>
        <v>2655031.8199999998</v>
      </c>
      <c r="L514" s="1">
        <f>_SELECT_u_city_AS_Город_TO_CHAR_f_rental_start_YYYY_MM_AS_Месяц__202609232054[[#This Row],[Расходы на Ремонт]] * (1 + $B$5)</f>
        <v>0</v>
      </c>
      <c r="M51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2655031.8199999998</v>
      </c>
    </row>
    <row r="515" spans="3:13" x14ac:dyDescent="0.25">
      <c r="C515" s="1" t="s">
        <v>27</v>
      </c>
      <c r="D515" s="2">
        <v>46054</v>
      </c>
      <c r="E515" s="1" t="s">
        <v>11</v>
      </c>
      <c r="F515">
        <v>3930</v>
      </c>
      <c r="G515" s="1" t="s">
        <v>530</v>
      </c>
      <c r="H515" s="1">
        <v>2751999.5</v>
      </c>
      <c r="I515" s="1">
        <v>2738792.51</v>
      </c>
      <c r="J515" s="1">
        <v>134520.72500000001</v>
      </c>
      <c r="K515" s="1">
        <f>_SELECT_u_city_AS_Город_TO_CHAR_f_rental_start_YYYY_MM_AS_Месяц__202609232054[[#This Row],[Чистая Выручка]] * (1 + $B$4)</f>
        <v>2738792.51</v>
      </c>
      <c r="L515" s="1">
        <f>_SELECT_u_city_AS_Город_TO_CHAR_f_rental_start_YYYY_MM_AS_Месяц__202609232054[[#This Row],[Расходы на Ремонт]] * (1 + $B$5)</f>
        <v>134520.72500000001</v>
      </c>
      <c r="M51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2604271.7849999997</v>
      </c>
    </row>
    <row r="516" spans="3:13" x14ac:dyDescent="0.25">
      <c r="C516" s="1" t="s">
        <v>27</v>
      </c>
      <c r="D516" s="2">
        <v>46054</v>
      </c>
      <c r="E516" s="1" t="s">
        <v>13</v>
      </c>
      <c r="F516">
        <v>3898</v>
      </c>
      <c r="G516" s="1" t="s">
        <v>531</v>
      </c>
      <c r="H516" s="1">
        <v>2731435.5</v>
      </c>
      <c r="I516" s="1">
        <v>2718625.67</v>
      </c>
      <c r="J516" s="1">
        <v>64279.451999999997</v>
      </c>
      <c r="K516" s="1">
        <f>_SELECT_u_city_AS_Город_TO_CHAR_f_rental_start_YYYY_MM_AS_Месяц__202609232054[[#This Row],[Чистая Выручка]] * (1 + $B$4)</f>
        <v>2718625.67</v>
      </c>
      <c r="L516" s="1">
        <f>_SELECT_u_city_AS_Город_TO_CHAR_f_rental_start_YYYY_MM_AS_Месяц__202609232054[[#This Row],[Расходы на Ремонт]] * (1 + $B$5)</f>
        <v>64279.451999999997</v>
      </c>
      <c r="M51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2654346.2179999999</v>
      </c>
    </row>
    <row r="517" spans="3:13" x14ac:dyDescent="0.25">
      <c r="C517" s="1" t="s">
        <v>27</v>
      </c>
      <c r="D517" s="2">
        <v>46054</v>
      </c>
      <c r="E517" s="1" t="s">
        <v>15</v>
      </c>
      <c r="F517">
        <v>3870</v>
      </c>
      <c r="G517" s="1" t="s">
        <v>532</v>
      </c>
      <c r="H517" s="1">
        <v>2671689.5</v>
      </c>
      <c r="I517" s="1">
        <v>2659891.7999999998</v>
      </c>
      <c r="J517" s="1">
        <v>47265.146999999997</v>
      </c>
      <c r="K517" s="1">
        <f>_SELECT_u_city_AS_Город_TO_CHAR_f_rental_start_YYYY_MM_AS_Месяц__202609232054[[#This Row],[Чистая Выручка]] * (1 + $B$4)</f>
        <v>2659891.7999999998</v>
      </c>
      <c r="L517" s="1">
        <f>_SELECT_u_city_AS_Город_TO_CHAR_f_rental_start_YYYY_MM_AS_Месяц__202609232054[[#This Row],[Расходы на Ремонт]] * (1 + $B$5)</f>
        <v>47265.146999999997</v>
      </c>
      <c r="M51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2612626.6529999999</v>
      </c>
    </row>
    <row r="518" spans="3:13" x14ac:dyDescent="0.25">
      <c r="C518" s="1" t="s">
        <v>32</v>
      </c>
      <c r="D518" s="2">
        <v>46054</v>
      </c>
      <c r="E518" s="1" t="s">
        <v>9</v>
      </c>
      <c r="F518">
        <v>3921</v>
      </c>
      <c r="G518" s="1" t="s">
        <v>533</v>
      </c>
      <c r="H518" s="1">
        <v>2719512.5</v>
      </c>
      <c r="I518" s="1">
        <v>2706586.54</v>
      </c>
      <c r="J518" s="1">
        <v>0</v>
      </c>
      <c r="K518" s="1">
        <f>_SELECT_u_city_AS_Город_TO_CHAR_f_rental_start_YYYY_MM_AS_Месяц__202609232054[[#This Row],[Чистая Выручка]] * (1 + $B$4)</f>
        <v>2706586.54</v>
      </c>
      <c r="L518" s="1">
        <f>_SELECT_u_city_AS_Город_TO_CHAR_f_rental_start_YYYY_MM_AS_Месяц__202609232054[[#This Row],[Расходы на Ремонт]] * (1 + $B$5)</f>
        <v>0</v>
      </c>
      <c r="M51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2706586.54</v>
      </c>
    </row>
    <row r="519" spans="3:13" x14ac:dyDescent="0.25">
      <c r="C519" s="1" t="s">
        <v>32</v>
      </c>
      <c r="D519" s="2">
        <v>46054</v>
      </c>
      <c r="E519" s="1" t="s">
        <v>11</v>
      </c>
      <c r="F519">
        <v>3719</v>
      </c>
      <c r="G519" s="1" t="s">
        <v>534</v>
      </c>
      <c r="H519" s="1">
        <v>2600096.5</v>
      </c>
      <c r="I519" s="1">
        <v>2586935.29</v>
      </c>
      <c r="J519" s="1">
        <v>126428.5</v>
      </c>
      <c r="K519" s="1">
        <f>_SELECT_u_city_AS_Город_TO_CHAR_f_rental_start_YYYY_MM_AS_Месяц__202609232054[[#This Row],[Чистая Выручка]] * (1 + $B$4)</f>
        <v>2586935.29</v>
      </c>
      <c r="L519" s="1">
        <f>_SELECT_u_city_AS_Город_TO_CHAR_f_rental_start_YYYY_MM_AS_Месяц__202609232054[[#This Row],[Расходы на Ремонт]] * (1 + $B$5)</f>
        <v>126428.5</v>
      </c>
      <c r="M51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2460506.79</v>
      </c>
    </row>
    <row r="520" spans="3:13" x14ac:dyDescent="0.25">
      <c r="C520" s="1" t="s">
        <v>32</v>
      </c>
      <c r="D520" s="2">
        <v>46054</v>
      </c>
      <c r="E520" s="1" t="s">
        <v>13</v>
      </c>
      <c r="F520">
        <v>3912</v>
      </c>
      <c r="G520" s="1" t="s">
        <v>535</v>
      </c>
      <c r="H520" s="1">
        <v>2742986.5</v>
      </c>
      <c r="I520" s="1">
        <v>2729428.4</v>
      </c>
      <c r="J520" s="1">
        <v>64404.959999999999</v>
      </c>
      <c r="K520" s="1">
        <f>_SELECT_u_city_AS_Город_TO_CHAR_f_rental_start_YYYY_MM_AS_Месяц__202609232054[[#This Row],[Чистая Выручка]] * (1 + $B$4)</f>
        <v>2729428.4</v>
      </c>
      <c r="L520" s="1">
        <f>_SELECT_u_city_AS_Город_TO_CHAR_f_rental_start_YYYY_MM_AS_Месяц__202609232054[[#This Row],[Расходы на Ремонт]] * (1 + $B$5)</f>
        <v>64404.959999999999</v>
      </c>
      <c r="M52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2665023.44</v>
      </c>
    </row>
    <row r="521" spans="3:13" x14ac:dyDescent="0.25">
      <c r="C521" s="1" t="s">
        <v>32</v>
      </c>
      <c r="D521" s="2">
        <v>46054</v>
      </c>
      <c r="E521" s="1" t="s">
        <v>15</v>
      </c>
      <c r="F521">
        <v>3763</v>
      </c>
      <c r="G521" s="1" t="s">
        <v>536</v>
      </c>
      <c r="H521" s="1">
        <v>2581218.5</v>
      </c>
      <c r="I521" s="1">
        <v>2568602.0499999998</v>
      </c>
      <c r="J521" s="1">
        <v>45589.464</v>
      </c>
      <c r="K521" s="1">
        <f>_SELECT_u_city_AS_Город_TO_CHAR_f_rental_start_YYYY_MM_AS_Месяц__202609232054[[#This Row],[Чистая Выручка]] * (1 + $B$4)</f>
        <v>2568602.0499999998</v>
      </c>
      <c r="L521" s="1">
        <f>_SELECT_u_city_AS_Город_TO_CHAR_f_rental_start_YYYY_MM_AS_Месяц__202609232054[[#This Row],[Расходы на Ремонт]] * (1 + $B$5)</f>
        <v>45589.464</v>
      </c>
      <c r="M52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2523012.5859999997</v>
      </c>
    </row>
    <row r="522" spans="3:13" x14ac:dyDescent="0.25">
      <c r="C522" s="1" t="s">
        <v>8</v>
      </c>
      <c r="D522" s="2">
        <v>46082</v>
      </c>
      <c r="E522" s="1" t="s">
        <v>9</v>
      </c>
      <c r="F522">
        <v>4475</v>
      </c>
      <c r="G522" s="1" t="s">
        <v>537</v>
      </c>
      <c r="H522" s="1">
        <v>3143008</v>
      </c>
      <c r="I522" s="1">
        <v>3128465.41</v>
      </c>
      <c r="J522" s="1">
        <v>0</v>
      </c>
      <c r="K522" s="1">
        <f>_SELECT_u_city_AS_Город_TO_CHAR_f_rental_start_YYYY_MM_AS_Месяц__202609232054[[#This Row],[Чистая Выручка]] * (1 + $B$4)</f>
        <v>3128465.41</v>
      </c>
      <c r="L522" s="1">
        <f>_SELECT_u_city_AS_Город_TO_CHAR_f_rental_start_YYYY_MM_AS_Месяц__202609232054[[#This Row],[Расходы на Ремонт]] * (1 + $B$5)</f>
        <v>0</v>
      </c>
      <c r="M52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3128465.41</v>
      </c>
    </row>
    <row r="523" spans="3:13" x14ac:dyDescent="0.25">
      <c r="C523" s="1" t="s">
        <v>8</v>
      </c>
      <c r="D523" s="2">
        <v>46082</v>
      </c>
      <c r="E523" s="1" t="s">
        <v>11</v>
      </c>
      <c r="F523">
        <v>4405</v>
      </c>
      <c r="G523" s="1" t="s">
        <v>538</v>
      </c>
      <c r="H523" s="1">
        <v>3091102</v>
      </c>
      <c r="I523" s="1">
        <v>3076593.22</v>
      </c>
      <c r="J523" s="1">
        <v>150841.1</v>
      </c>
      <c r="K523" s="1">
        <f>_SELECT_u_city_AS_Город_TO_CHAR_f_rental_start_YYYY_MM_AS_Месяц__202609232054[[#This Row],[Чистая Выручка]] * (1 + $B$4)</f>
        <v>3076593.22</v>
      </c>
      <c r="L523" s="1">
        <f>_SELECT_u_city_AS_Город_TO_CHAR_f_rental_start_YYYY_MM_AS_Месяц__202609232054[[#This Row],[Расходы на Ремонт]] * (1 + $B$5)</f>
        <v>150841.1</v>
      </c>
      <c r="M52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2925752.12</v>
      </c>
    </row>
    <row r="524" spans="3:13" x14ac:dyDescent="0.25">
      <c r="C524" s="1" t="s">
        <v>8</v>
      </c>
      <c r="D524" s="2">
        <v>46082</v>
      </c>
      <c r="E524" s="1" t="s">
        <v>13</v>
      </c>
      <c r="F524">
        <v>4467</v>
      </c>
      <c r="G524" s="1" t="s">
        <v>539</v>
      </c>
      <c r="H524" s="1">
        <v>3121862.5</v>
      </c>
      <c r="I524" s="1">
        <v>3106714.85</v>
      </c>
      <c r="J524" s="1">
        <v>73871.615999999995</v>
      </c>
      <c r="K524" s="1">
        <f>_SELECT_u_city_AS_Город_TO_CHAR_f_rental_start_YYYY_MM_AS_Месяц__202609232054[[#This Row],[Чистая Выручка]] * (1 + $B$4)</f>
        <v>3106714.85</v>
      </c>
      <c r="L524" s="1">
        <f>_SELECT_u_city_AS_Город_TO_CHAR_f_rental_start_YYYY_MM_AS_Месяц__202609232054[[#This Row],[Расходы на Ремонт]] * (1 + $B$5)</f>
        <v>73871.615999999995</v>
      </c>
      <c r="M52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3032843.2340000002</v>
      </c>
    </row>
    <row r="525" spans="3:13" x14ac:dyDescent="0.25">
      <c r="C525" s="1" t="s">
        <v>8</v>
      </c>
      <c r="D525" s="2">
        <v>46082</v>
      </c>
      <c r="E525" s="1" t="s">
        <v>15</v>
      </c>
      <c r="F525">
        <v>4381</v>
      </c>
      <c r="G525" s="1" t="s">
        <v>540</v>
      </c>
      <c r="H525" s="1">
        <v>3049360</v>
      </c>
      <c r="I525" s="1">
        <v>3034586.48</v>
      </c>
      <c r="J525" s="1">
        <v>53525.493000000002</v>
      </c>
      <c r="K525" s="1">
        <f>_SELECT_u_city_AS_Город_TO_CHAR_f_rental_start_YYYY_MM_AS_Месяц__202609232054[[#This Row],[Чистая Выручка]] * (1 + $B$4)</f>
        <v>3034586.48</v>
      </c>
      <c r="L525" s="1">
        <f>_SELECT_u_city_AS_Город_TO_CHAR_f_rental_start_YYYY_MM_AS_Месяц__202609232054[[#This Row],[Расходы на Ремонт]] * (1 + $B$5)</f>
        <v>53525.493000000002</v>
      </c>
      <c r="M52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2981060.9870000002</v>
      </c>
    </row>
    <row r="526" spans="3:13" x14ac:dyDescent="0.25">
      <c r="C526" s="1" t="s">
        <v>17</v>
      </c>
      <c r="D526" s="2">
        <v>46082</v>
      </c>
      <c r="E526" s="1" t="s">
        <v>9</v>
      </c>
      <c r="F526">
        <v>4460</v>
      </c>
      <c r="G526" s="1" t="s">
        <v>541</v>
      </c>
      <c r="H526" s="1">
        <v>3106400.5</v>
      </c>
      <c r="I526" s="1">
        <v>3092148.75</v>
      </c>
      <c r="J526" s="1">
        <v>0</v>
      </c>
      <c r="K526" s="1">
        <f>_SELECT_u_city_AS_Город_TO_CHAR_f_rental_start_YYYY_MM_AS_Месяц__202609232054[[#This Row],[Чистая Выручка]] * (1 + $B$4)</f>
        <v>3092148.75</v>
      </c>
      <c r="L526" s="1">
        <f>_SELECT_u_city_AS_Город_TO_CHAR_f_rental_start_YYYY_MM_AS_Месяц__202609232054[[#This Row],[Расходы на Ремонт]] * (1 + $B$5)</f>
        <v>0</v>
      </c>
      <c r="M52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3092148.75</v>
      </c>
    </row>
    <row r="527" spans="3:13" x14ac:dyDescent="0.25">
      <c r="C527" s="1" t="s">
        <v>17</v>
      </c>
      <c r="D527" s="2">
        <v>46082</v>
      </c>
      <c r="E527" s="1" t="s">
        <v>11</v>
      </c>
      <c r="F527">
        <v>4369</v>
      </c>
      <c r="G527" s="1" t="s">
        <v>542</v>
      </c>
      <c r="H527" s="1">
        <v>3028421.5</v>
      </c>
      <c r="I527" s="1">
        <v>3013164.6</v>
      </c>
      <c r="J527" s="1">
        <v>146627.1</v>
      </c>
      <c r="K527" s="1">
        <f>_SELECT_u_city_AS_Город_TO_CHAR_f_rental_start_YYYY_MM_AS_Месяц__202609232054[[#This Row],[Чистая Выручка]] * (1 + $B$4)</f>
        <v>3013164.6</v>
      </c>
      <c r="L527" s="1">
        <f>_SELECT_u_city_AS_Город_TO_CHAR_f_rental_start_YYYY_MM_AS_Месяц__202609232054[[#This Row],[Расходы на Ремонт]] * (1 + $B$5)</f>
        <v>146627.1</v>
      </c>
      <c r="M52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2866537.5</v>
      </c>
    </row>
    <row r="528" spans="3:13" x14ac:dyDescent="0.25">
      <c r="C528" s="1" t="s">
        <v>17</v>
      </c>
      <c r="D528" s="2">
        <v>46082</v>
      </c>
      <c r="E528" s="1" t="s">
        <v>13</v>
      </c>
      <c r="F528">
        <v>4450</v>
      </c>
      <c r="G528" s="1" t="s">
        <v>543</v>
      </c>
      <c r="H528" s="1">
        <v>3098264</v>
      </c>
      <c r="I528" s="1">
        <v>3083706.1</v>
      </c>
      <c r="J528" s="1">
        <v>72870.635999999999</v>
      </c>
      <c r="K528" s="1">
        <f>_SELECT_u_city_AS_Город_TO_CHAR_f_rental_start_YYYY_MM_AS_Месяц__202609232054[[#This Row],[Чистая Выручка]] * (1 + $B$4)</f>
        <v>3083706.1</v>
      </c>
      <c r="L528" s="1">
        <f>_SELECT_u_city_AS_Город_TO_CHAR_f_rental_start_YYYY_MM_AS_Месяц__202609232054[[#This Row],[Расходы на Ремонт]] * (1 + $B$5)</f>
        <v>72870.635999999999</v>
      </c>
      <c r="M52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3010835.4640000002</v>
      </c>
    </row>
    <row r="529" spans="3:13" x14ac:dyDescent="0.25">
      <c r="C529" s="1" t="s">
        <v>17</v>
      </c>
      <c r="D529" s="2">
        <v>46082</v>
      </c>
      <c r="E529" s="1" t="s">
        <v>15</v>
      </c>
      <c r="F529">
        <v>4412</v>
      </c>
      <c r="G529" s="1" t="s">
        <v>544</v>
      </c>
      <c r="H529" s="1">
        <v>3068413.5</v>
      </c>
      <c r="I529" s="1">
        <v>3054982.48</v>
      </c>
      <c r="J529" s="1">
        <v>54248.156999999999</v>
      </c>
      <c r="K529" s="1">
        <f>_SELECT_u_city_AS_Город_TO_CHAR_f_rental_start_YYYY_MM_AS_Месяц__202609232054[[#This Row],[Чистая Выручка]] * (1 + $B$4)</f>
        <v>3054982.48</v>
      </c>
      <c r="L529" s="1">
        <f>_SELECT_u_city_AS_Город_TO_CHAR_f_rental_start_YYYY_MM_AS_Месяц__202609232054[[#This Row],[Расходы на Ремонт]] * (1 + $B$5)</f>
        <v>54248.156999999999</v>
      </c>
      <c r="M52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3000734.3229999999</v>
      </c>
    </row>
    <row r="530" spans="3:13" x14ac:dyDescent="0.25">
      <c r="C530" s="1" t="s">
        <v>22</v>
      </c>
      <c r="D530" s="2">
        <v>46082</v>
      </c>
      <c r="E530" s="1" t="s">
        <v>9</v>
      </c>
      <c r="F530">
        <v>4587</v>
      </c>
      <c r="G530" s="1" t="s">
        <v>545</v>
      </c>
      <c r="H530" s="1">
        <v>3163094.5</v>
      </c>
      <c r="I530" s="1">
        <v>3148252.01</v>
      </c>
      <c r="J530" s="1">
        <v>0</v>
      </c>
      <c r="K530" s="1">
        <f>_SELECT_u_city_AS_Город_TO_CHAR_f_rental_start_YYYY_MM_AS_Месяц__202609232054[[#This Row],[Чистая Выручка]] * (1 + $B$4)</f>
        <v>3148252.01</v>
      </c>
      <c r="L530" s="1">
        <f>_SELECT_u_city_AS_Город_TO_CHAR_f_rental_start_YYYY_MM_AS_Месяц__202609232054[[#This Row],[Расходы на Ремонт]] * (1 + $B$5)</f>
        <v>0</v>
      </c>
      <c r="M53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3148252.01</v>
      </c>
    </row>
    <row r="531" spans="3:13" x14ac:dyDescent="0.25">
      <c r="C531" s="1" t="s">
        <v>22</v>
      </c>
      <c r="D531" s="2">
        <v>46082</v>
      </c>
      <c r="E531" s="1" t="s">
        <v>11</v>
      </c>
      <c r="F531">
        <v>4490</v>
      </c>
      <c r="G531" s="1" t="s">
        <v>546</v>
      </c>
      <c r="H531" s="1">
        <v>3120624</v>
      </c>
      <c r="I531" s="1">
        <v>3105826.07</v>
      </c>
      <c r="J531" s="1">
        <v>153228.07500000001</v>
      </c>
      <c r="K531" s="1">
        <f>_SELECT_u_city_AS_Город_TO_CHAR_f_rental_start_YYYY_MM_AS_Месяц__202609232054[[#This Row],[Чистая Выручка]] * (1 + $B$4)</f>
        <v>3105826.07</v>
      </c>
      <c r="L531" s="1">
        <f>_SELECT_u_city_AS_Город_TO_CHAR_f_rental_start_YYYY_MM_AS_Месяц__202609232054[[#This Row],[Расходы на Ремонт]] * (1 + $B$5)</f>
        <v>153228.07500000001</v>
      </c>
      <c r="M53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2952597.9949999996</v>
      </c>
    </row>
    <row r="532" spans="3:13" x14ac:dyDescent="0.25">
      <c r="C532" s="1" t="s">
        <v>22</v>
      </c>
      <c r="D532" s="2">
        <v>46082</v>
      </c>
      <c r="E532" s="1" t="s">
        <v>13</v>
      </c>
      <c r="F532">
        <v>4645</v>
      </c>
      <c r="G532" s="1" t="s">
        <v>547</v>
      </c>
      <c r="H532" s="1">
        <v>3246355</v>
      </c>
      <c r="I532" s="1">
        <v>3231376.33</v>
      </c>
      <c r="J532" s="1">
        <v>76064.94</v>
      </c>
      <c r="K532" s="1">
        <f>_SELECT_u_city_AS_Город_TO_CHAR_f_rental_start_YYYY_MM_AS_Месяц__202609232054[[#This Row],[Чистая Выручка]] * (1 + $B$4)</f>
        <v>3231376.33</v>
      </c>
      <c r="L532" s="1">
        <f>_SELECT_u_city_AS_Город_TO_CHAR_f_rental_start_YYYY_MM_AS_Месяц__202609232054[[#This Row],[Расходы на Ремонт]] * (1 + $B$5)</f>
        <v>76064.94</v>
      </c>
      <c r="M53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3155311.39</v>
      </c>
    </row>
    <row r="533" spans="3:13" x14ac:dyDescent="0.25">
      <c r="C533" s="1" t="s">
        <v>22</v>
      </c>
      <c r="D533" s="2">
        <v>46082</v>
      </c>
      <c r="E533" s="1" t="s">
        <v>15</v>
      </c>
      <c r="F533">
        <v>4397</v>
      </c>
      <c r="G533" s="1" t="s">
        <v>548</v>
      </c>
      <c r="H533" s="1">
        <v>3059283.5</v>
      </c>
      <c r="I533" s="1">
        <v>3045041.24</v>
      </c>
      <c r="J533" s="1">
        <v>53847.459000000003</v>
      </c>
      <c r="K533" s="1">
        <f>_SELECT_u_city_AS_Город_TO_CHAR_f_rental_start_YYYY_MM_AS_Месяц__202609232054[[#This Row],[Чистая Выручка]] * (1 + $B$4)</f>
        <v>3045041.24</v>
      </c>
      <c r="L533" s="1">
        <f>_SELECT_u_city_AS_Город_TO_CHAR_f_rental_start_YYYY_MM_AS_Месяц__202609232054[[#This Row],[Расходы на Ремонт]] * (1 + $B$5)</f>
        <v>53847.459000000003</v>
      </c>
      <c r="M53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2991193.7810000004</v>
      </c>
    </row>
    <row r="534" spans="3:13" x14ac:dyDescent="0.25">
      <c r="C534" s="1" t="s">
        <v>27</v>
      </c>
      <c r="D534" s="2">
        <v>46082</v>
      </c>
      <c r="E534" s="1" t="s">
        <v>9</v>
      </c>
      <c r="F534">
        <v>4485</v>
      </c>
      <c r="G534" s="1" t="s">
        <v>549</v>
      </c>
      <c r="H534" s="1">
        <v>3137578</v>
      </c>
      <c r="I534" s="1">
        <v>3122201.28</v>
      </c>
      <c r="J534" s="1">
        <v>0</v>
      </c>
      <c r="K534" s="1">
        <f>_SELECT_u_city_AS_Город_TO_CHAR_f_rental_start_YYYY_MM_AS_Месяц__202609232054[[#This Row],[Чистая Выручка]] * (1 + $B$4)</f>
        <v>3122201.28</v>
      </c>
      <c r="L534" s="1">
        <f>_SELECT_u_city_AS_Город_TO_CHAR_f_rental_start_YYYY_MM_AS_Месяц__202609232054[[#This Row],[Расходы на Ремонт]] * (1 + $B$5)</f>
        <v>0</v>
      </c>
      <c r="M53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3122201.28</v>
      </c>
    </row>
    <row r="535" spans="3:13" x14ac:dyDescent="0.25">
      <c r="C535" s="1" t="s">
        <v>27</v>
      </c>
      <c r="D535" s="2">
        <v>46082</v>
      </c>
      <c r="E535" s="1" t="s">
        <v>11</v>
      </c>
      <c r="F535">
        <v>4347</v>
      </c>
      <c r="G535" s="1" t="s">
        <v>550</v>
      </c>
      <c r="H535" s="1">
        <v>3032246.5</v>
      </c>
      <c r="I535" s="1">
        <v>3017357.75</v>
      </c>
      <c r="J535" s="1">
        <v>148653.1</v>
      </c>
      <c r="K535" s="1">
        <f>_SELECT_u_city_AS_Город_TO_CHAR_f_rental_start_YYYY_MM_AS_Месяц__202609232054[[#This Row],[Чистая Выручка]] * (1 + $B$4)</f>
        <v>3017357.75</v>
      </c>
      <c r="L535" s="1">
        <f>_SELECT_u_city_AS_Город_TO_CHAR_f_rental_start_YYYY_MM_AS_Месяц__202609232054[[#This Row],[Расходы на Ремонт]] * (1 + $B$5)</f>
        <v>148653.1</v>
      </c>
      <c r="M53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2868704.65</v>
      </c>
    </row>
    <row r="536" spans="3:13" x14ac:dyDescent="0.25">
      <c r="C536" s="1" t="s">
        <v>27</v>
      </c>
      <c r="D536" s="2">
        <v>46082</v>
      </c>
      <c r="E536" s="1" t="s">
        <v>13</v>
      </c>
      <c r="F536">
        <v>4298</v>
      </c>
      <c r="G536" s="1" t="s">
        <v>551</v>
      </c>
      <c r="H536" s="1">
        <v>3006222</v>
      </c>
      <c r="I536" s="1">
        <v>2991655.12</v>
      </c>
      <c r="J536" s="1">
        <v>69846.407999999996</v>
      </c>
      <c r="K536" s="1">
        <f>_SELECT_u_city_AS_Город_TO_CHAR_f_rental_start_YYYY_MM_AS_Месяц__202609232054[[#This Row],[Чистая Выручка]] * (1 + $B$4)</f>
        <v>2991655.12</v>
      </c>
      <c r="L536" s="1">
        <f>_SELECT_u_city_AS_Город_TO_CHAR_f_rental_start_YYYY_MM_AS_Месяц__202609232054[[#This Row],[Расходы на Ремонт]] * (1 + $B$5)</f>
        <v>69846.407999999996</v>
      </c>
      <c r="M53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2921808.7120000003</v>
      </c>
    </row>
    <row r="537" spans="3:13" x14ac:dyDescent="0.25">
      <c r="C537" s="1" t="s">
        <v>27</v>
      </c>
      <c r="D537" s="2">
        <v>46082</v>
      </c>
      <c r="E537" s="1" t="s">
        <v>15</v>
      </c>
      <c r="F537">
        <v>4393</v>
      </c>
      <c r="G537" s="1" t="s">
        <v>552</v>
      </c>
      <c r="H537" s="1">
        <v>3053774</v>
      </c>
      <c r="I537" s="1">
        <v>3038134.1</v>
      </c>
      <c r="J537" s="1">
        <v>54258.894</v>
      </c>
      <c r="K537" s="1">
        <f>_SELECT_u_city_AS_Город_TO_CHAR_f_rental_start_YYYY_MM_AS_Месяц__202609232054[[#This Row],[Чистая Выручка]] * (1 + $B$4)</f>
        <v>3038134.1</v>
      </c>
      <c r="L537" s="1">
        <f>_SELECT_u_city_AS_Город_TO_CHAR_f_rental_start_YYYY_MM_AS_Месяц__202609232054[[#This Row],[Расходы на Ремонт]] * (1 + $B$5)</f>
        <v>54258.894</v>
      </c>
      <c r="M53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2983875.2060000002</v>
      </c>
    </row>
    <row r="538" spans="3:13" x14ac:dyDescent="0.25">
      <c r="C538" s="1" t="s">
        <v>32</v>
      </c>
      <c r="D538" s="2">
        <v>46082</v>
      </c>
      <c r="E538" s="1" t="s">
        <v>9</v>
      </c>
      <c r="F538">
        <v>4440</v>
      </c>
      <c r="G538" s="1" t="s">
        <v>553</v>
      </c>
      <c r="H538" s="1">
        <v>3099654</v>
      </c>
      <c r="I538" s="1">
        <v>3084516.37</v>
      </c>
      <c r="J538" s="1">
        <v>0</v>
      </c>
      <c r="K538" s="1">
        <f>_SELECT_u_city_AS_Город_TO_CHAR_f_rental_start_YYYY_MM_AS_Месяц__202609232054[[#This Row],[Чистая Выручка]] * (1 + $B$4)</f>
        <v>3084516.37</v>
      </c>
      <c r="L538" s="1">
        <f>_SELECT_u_city_AS_Город_TO_CHAR_f_rental_start_YYYY_MM_AS_Месяц__202609232054[[#This Row],[Расходы на Ремонт]] * (1 + $B$5)</f>
        <v>0</v>
      </c>
      <c r="M53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3084516.37</v>
      </c>
    </row>
    <row r="539" spans="3:13" x14ac:dyDescent="0.25">
      <c r="C539" s="1" t="s">
        <v>32</v>
      </c>
      <c r="D539" s="2">
        <v>46082</v>
      </c>
      <c r="E539" s="1" t="s">
        <v>11</v>
      </c>
      <c r="F539">
        <v>4464</v>
      </c>
      <c r="G539" s="1" t="s">
        <v>554</v>
      </c>
      <c r="H539" s="1">
        <v>3105707</v>
      </c>
      <c r="I539" s="1">
        <v>3091631.12</v>
      </c>
      <c r="J539" s="1">
        <v>150791.35</v>
      </c>
      <c r="K539" s="1">
        <f>_SELECT_u_city_AS_Город_TO_CHAR_f_rental_start_YYYY_MM_AS_Месяц__202609232054[[#This Row],[Чистая Выручка]] * (1 + $B$4)</f>
        <v>3091631.12</v>
      </c>
      <c r="L539" s="1">
        <f>_SELECT_u_city_AS_Город_TO_CHAR_f_rental_start_YYYY_MM_AS_Месяц__202609232054[[#This Row],[Расходы на Ремонт]] * (1 + $B$5)</f>
        <v>150791.35</v>
      </c>
      <c r="M53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2940839.77</v>
      </c>
    </row>
    <row r="540" spans="3:13" x14ac:dyDescent="0.25">
      <c r="C540" s="1" t="s">
        <v>32</v>
      </c>
      <c r="D540" s="2">
        <v>46082</v>
      </c>
      <c r="E540" s="1" t="s">
        <v>13</v>
      </c>
      <c r="F540">
        <v>4440</v>
      </c>
      <c r="G540" s="1" t="s">
        <v>555</v>
      </c>
      <c r="H540" s="1">
        <v>3077268</v>
      </c>
      <c r="I540" s="1">
        <v>3062505.08</v>
      </c>
      <c r="J540" s="1">
        <v>73164.432000000001</v>
      </c>
      <c r="K540" s="1">
        <f>_SELECT_u_city_AS_Город_TO_CHAR_f_rental_start_YYYY_MM_AS_Месяц__202609232054[[#This Row],[Чистая Выручка]] * (1 + $B$4)</f>
        <v>3062505.08</v>
      </c>
      <c r="L540" s="1">
        <f>_SELECT_u_city_AS_Город_TO_CHAR_f_rental_start_YYYY_MM_AS_Месяц__202609232054[[#This Row],[Расходы на Ремонт]] * (1 + $B$5)</f>
        <v>73164.432000000001</v>
      </c>
      <c r="M54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2989340.648</v>
      </c>
    </row>
    <row r="541" spans="3:13" x14ac:dyDescent="0.25">
      <c r="C541" s="1" t="s">
        <v>32</v>
      </c>
      <c r="D541" s="2">
        <v>46082</v>
      </c>
      <c r="E541" s="1" t="s">
        <v>15</v>
      </c>
      <c r="F541">
        <v>4372</v>
      </c>
      <c r="G541" s="1" t="s">
        <v>556</v>
      </c>
      <c r="H541" s="1">
        <v>3053007.5</v>
      </c>
      <c r="I541" s="1">
        <v>3037905.37</v>
      </c>
      <c r="J541" s="1">
        <v>54367.154999999999</v>
      </c>
      <c r="K541" s="1">
        <f>_SELECT_u_city_AS_Город_TO_CHAR_f_rental_start_YYYY_MM_AS_Месяц__202609232054[[#This Row],[Чистая Выручка]] * (1 + $B$4)</f>
        <v>3037905.37</v>
      </c>
      <c r="L541" s="1">
        <f>_SELECT_u_city_AS_Город_TO_CHAR_f_rental_start_YYYY_MM_AS_Месяц__202609232054[[#This Row],[Расходы на Ремонт]] * (1 + $B$5)</f>
        <v>54367.154999999999</v>
      </c>
      <c r="M54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2983538.2150000003</v>
      </c>
    </row>
    <row r="542" spans="3:13" x14ac:dyDescent="0.25">
      <c r="C542" s="1" t="s">
        <v>8</v>
      </c>
      <c r="D542" s="2">
        <v>46113</v>
      </c>
      <c r="E542" s="1" t="s">
        <v>9</v>
      </c>
      <c r="F542">
        <v>4158</v>
      </c>
      <c r="G542" s="1" t="s">
        <v>557</v>
      </c>
      <c r="H542" s="1">
        <v>2914691.5</v>
      </c>
      <c r="I542" s="1">
        <v>2901140.13</v>
      </c>
      <c r="J542" s="1">
        <v>0</v>
      </c>
      <c r="K542" s="1">
        <f>_SELECT_u_city_AS_Город_TO_CHAR_f_rental_start_YYYY_MM_AS_Месяц__202609232054[[#This Row],[Чистая Выручка]] * (1 + $B$4)</f>
        <v>2901140.13</v>
      </c>
      <c r="L542" s="1">
        <f>_SELECT_u_city_AS_Город_TO_CHAR_f_rental_start_YYYY_MM_AS_Месяц__202609232054[[#This Row],[Расходы на Ремонт]] * (1 + $B$5)</f>
        <v>0</v>
      </c>
      <c r="M54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2901140.13</v>
      </c>
    </row>
    <row r="543" spans="3:13" x14ac:dyDescent="0.25">
      <c r="C543" s="1" t="s">
        <v>8</v>
      </c>
      <c r="D543" s="2">
        <v>46113</v>
      </c>
      <c r="E543" s="1" t="s">
        <v>11</v>
      </c>
      <c r="F543">
        <v>4048</v>
      </c>
      <c r="G543" s="1" t="s">
        <v>558</v>
      </c>
      <c r="H543" s="1">
        <v>2821421.5</v>
      </c>
      <c r="I543" s="1">
        <v>2807683.77</v>
      </c>
      <c r="J543" s="1">
        <v>138530.32500000001</v>
      </c>
      <c r="K543" s="1">
        <f>_SELECT_u_city_AS_Город_TO_CHAR_f_rental_start_YYYY_MM_AS_Месяц__202609232054[[#This Row],[Чистая Выручка]] * (1 + $B$4)</f>
        <v>2807683.77</v>
      </c>
      <c r="L543" s="1">
        <f>_SELECT_u_city_AS_Город_TO_CHAR_f_rental_start_YYYY_MM_AS_Месяц__202609232054[[#This Row],[Расходы на Ремонт]] * (1 + $B$5)</f>
        <v>138530.32500000001</v>
      </c>
      <c r="M54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2669153.4449999998</v>
      </c>
    </row>
    <row r="544" spans="3:13" x14ac:dyDescent="0.25">
      <c r="C544" s="1" t="s">
        <v>8</v>
      </c>
      <c r="D544" s="2">
        <v>46113</v>
      </c>
      <c r="E544" s="1" t="s">
        <v>13</v>
      </c>
      <c r="F544">
        <v>4238</v>
      </c>
      <c r="G544" s="1" t="s">
        <v>559</v>
      </c>
      <c r="H544" s="1">
        <v>2991542.5</v>
      </c>
      <c r="I544" s="1">
        <v>2977129.85</v>
      </c>
      <c r="J544" s="1">
        <v>69870.107999999993</v>
      </c>
      <c r="K544" s="1">
        <f>_SELECT_u_city_AS_Город_TO_CHAR_f_rental_start_YYYY_MM_AS_Месяц__202609232054[[#This Row],[Чистая Выручка]] * (1 + $B$4)</f>
        <v>2977129.85</v>
      </c>
      <c r="L544" s="1">
        <f>_SELECT_u_city_AS_Город_TO_CHAR_f_rental_start_YYYY_MM_AS_Месяц__202609232054[[#This Row],[Расходы на Ремонт]] * (1 + $B$5)</f>
        <v>69870.107999999993</v>
      </c>
      <c r="M54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2907259.7420000001</v>
      </c>
    </row>
    <row r="545" spans="3:13" x14ac:dyDescent="0.25">
      <c r="C545" s="1" t="s">
        <v>8</v>
      </c>
      <c r="D545" s="2">
        <v>46113</v>
      </c>
      <c r="E545" s="1" t="s">
        <v>15</v>
      </c>
      <c r="F545">
        <v>4074</v>
      </c>
      <c r="G545" s="1" t="s">
        <v>560</v>
      </c>
      <c r="H545" s="1">
        <v>2856867</v>
      </c>
      <c r="I545" s="1">
        <v>2843513.22</v>
      </c>
      <c r="J545" s="1">
        <v>49957.307999999997</v>
      </c>
      <c r="K545" s="1">
        <f>_SELECT_u_city_AS_Город_TO_CHAR_f_rental_start_YYYY_MM_AS_Месяц__202609232054[[#This Row],[Чистая Выручка]] * (1 + $B$4)</f>
        <v>2843513.22</v>
      </c>
      <c r="L545" s="1">
        <f>_SELECT_u_city_AS_Город_TO_CHAR_f_rental_start_YYYY_MM_AS_Месяц__202609232054[[#This Row],[Расходы на Ремонт]] * (1 + $B$5)</f>
        <v>49957.307999999997</v>
      </c>
      <c r="M54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2793555.912</v>
      </c>
    </row>
    <row r="546" spans="3:13" x14ac:dyDescent="0.25">
      <c r="C546" s="1" t="s">
        <v>17</v>
      </c>
      <c r="D546" s="2">
        <v>46113</v>
      </c>
      <c r="E546" s="1" t="s">
        <v>9</v>
      </c>
      <c r="F546">
        <v>4218</v>
      </c>
      <c r="G546" s="1" t="s">
        <v>561</v>
      </c>
      <c r="H546" s="1">
        <v>2964596</v>
      </c>
      <c r="I546" s="1">
        <v>2949827.16</v>
      </c>
      <c r="J546" s="1">
        <v>0</v>
      </c>
      <c r="K546" s="1">
        <f>_SELECT_u_city_AS_Город_TO_CHAR_f_rental_start_YYYY_MM_AS_Месяц__202609232054[[#This Row],[Чистая Выручка]] * (1 + $B$4)</f>
        <v>2949827.16</v>
      </c>
      <c r="L546" s="1">
        <f>_SELECT_u_city_AS_Город_TO_CHAR_f_rental_start_YYYY_MM_AS_Месяц__202609232054[[#This Row],[Расходы на Ремонт]] * (1 + $B$5)</f>
        <v>0</v>
      </c>
      <c r="M54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2949827.16</v>
      </c>
    </row>
    <row r="547" spans="3:13" x14ac:dyDescent="0.25">
      <c r="C547" s="1" t="s">
        <v>17</v>
      </c>
      <c r="D547" s="2">
        <v>46113</v>
      </c>
      <c r="E547" s="1" t="s">
        <v>11</v>
      </c>
      <c r="F547">
        <v>4087</v>
      </c>
      <c r="G547" s="1" t="s">
        <v>562</v>
      </c>
      <c r="H547" s="1">
        <v>2803970.5</v>
      </c>
      <c r="I547" s="1">
        <v>2790191.29</v>
      </c>
      <c r="J547" s="1">
        <v>137855.02499999999</v>
      </c>
      <c r="K547" s="1">
        <f>_SELECT_u_city_AS_Город_TO_CHAR_f_rental_start_YYYY_MM_AS_Месяц__202609232054[[#This Row],[Чистая Выручка]] * (1 + $B$4)</f>
        <v>2790191.29</v>
      </c>
      <c r="L547" s="1">
        <f>_SELECT_u_city_AS_Город_TO_CHAR_f_rental_start_YYYY_MM_AS_Месяц__202609232054[[#This Row],[Расходы на Ремонт]] * (1 + $B$5)</f>
        <v>137855.02499999999</v>
      </c>
      <c r="M54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2652336.2650000001</v>
      </c>
    </row>
    <row r="548" spans="3:13" x14ac:dyDescent="0.25">
      <c r="C548" s="1" t="s">
        <v>17</v>
      </c>
      <c r="D548" s="2">
        <v>46113</v>
      </c>
      <c r="E548" s="1" t="s">
        <v>13</v>
      </c>
      <c r="F548">
        <v>4215</v>
      </c>
      <c r="G548" s="1" t="s">
        <v>563</v>
      </c>
      <c r="H548" s="1">
        <v>2899517</v>
      </c>
      <c r="I548" s="1">
        <v>2885932.58</v>
      </c>
      <c r="J548" s="1">
        <v>68423.207999999999</v>
      </c>
      <c r="K548" s="1">
        <f>_SELECT_u_city_AS_Город_TO_CHAR_f_rental_start_YYYY_MM_AS_Месяц__202609232054[[#This Row],[Чистая Выручка]] * (1 + $B$4)</f>
        <v>2885932.58</v>
      </c>
      <c r="L548" s="1">
        <f>_SELECT_u_city_AS_Город_TO_CHAR_f_rental_start_YYYY_MM_AS_Месяц__202609232054[[#This Row],[Расходы на Ремонт]] * (1 + $B$5)</f>
        <v>68423.207999999999</v>
      </c>
      <c r="M54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2817509.372</v>
      </c>
    </row>
    <row r="549" spans="3:13" x14ac:dyDescent="0.25">
      <c r="C549" s="1" t="s">
        <v>17</v>
      </c>
      <c r="D549" s="2">
        <v>46113</v>
      </c>
      <c r="E549" s="1" t="s">
        <v>15</v>
      </c>
      <c r="F549">
        <v>4189</v>
      </c>
      <c r="G549" s="1" t="s">
        <v>564</v>
      </c>
      <c r="H549" s="1">
        <v>2944345</v>
      </c>
      <c r="I549" s="1">
        <v>2930548.47</v>
      </c>
      <c r="J549" s="1">
        <v>51330.896999999997</v>
      </c>
      <c r="K549" s="1">
        <f>_SELECT_u_city_AS_Город_TO_CHAR_f_rental_start_YYYY_MM_AS_Месяц__202609232054[[#This Row],[Чистая Выручка]] * (1 + $B$4)</f>
        <v>2930548.47</v>
      </c>
      <c r="L549" s="1">
        <f>_SELECT_u_city_AS_Город_TO_CHAR_f_rental_start_YYYY_MM_AS_Месяц__202609232054[[#This Row],[Расходы на Ремонт]] * (1 + $B$5)</f>
        <v>51330.896999999997</v>
      </c>
      <c r="M54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2879217.5730000003</v>
      </c>
    </row>
    <row r="550" spans="3:13" x14ac:dyDescent="0.25">
      <c r="C550" s="1" t="s">
        <v>22</v>
      </c>
      <c r="D550" s="2">
        <v>46113</v>
      </c>
      <c r="E550" s="1" t="s">
        <v>9</v>
      </c>
      <c r="F550">
        <v>4193</v>
      </c>
      <c r="G550" s="1" t="s">
        <v>565</v>
      </c>
      <c r="H550" s="1">
        <v>2915173.5</v>
      </c>
      <c r="I550" s="1">
        <v>2900489.02</v>
      </c>
      <c r="J550" s="1">
        <v>0</v>
      </c>
      <c r="K550" s="1">
        <f>_SELECT_u_city_AS_Город_TO_CHAR_f_rental_start_YYYY_MM_AS_Месяц__202609232054[[#This Row],[Чистая Выручка]] * (1 + $B$4)</f>
        <v>2900489.02</v>
      </c>
      <c r="L550" s="1">
        <f>_SELECT_u_city_AS_Город_TO_CHAR_f_rental_start_YYYY_MM_AS_Месяц__202609232054[[#This Row],[Расходы на Ремонт]] * (1 + $B$5)</f>
        <v>0</v>
      </c>
      <c r="M55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2900489.02</v>
      </c>
    </row>
    <row r="551" spans="3:13" x14ac:dyDescent="0.25">
      <c r="C551" s="1" t="s">
        <v>22</v>
      </c>
      <c r="D551" s="2">
        <v>46113</v>
      </c>
      <c r="E551" s="1" t="s">
        <v>11</v>
      </c>
      <c r="F551">
        <v>4196</v>
      </c>
      <c r="G551" s="1" t="s">
        <v>566</v>
      </c>
      <c r="H551" s="1">
        <v>2889738.5</v>
      </c>
      <c r="I551" s="1">
        <v>2876475.3</v>
      </c>
      <c r="J551" s="1">
        <v>144069.4</v>
      </c>
      <c r="K551" s="1">
        <f>_SELECT_u_city_AS_Город_TO_CHAR_f_rental_start_YYYY_MM_AS_Месяц__202609232054[[#This Row],[Чистая Выручка]] * (1 + $B$4)</f>
        <v>2876475.3</v>
      </c>
      <c r="L551" s="1">
        <f>_SELECT_u_city_AS_Город_TO_CHAR_f_rental_start_YYYY_MM_AS_Месяц__202609232054[[#This Row],[Расходы на Ремонт]] * (1 + $B$5)</f>
        <v>144069.4</v>
      </c>
      <c r="M55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2732405.9</v>
      </c>
    </row>
    <row r="552" spans="3:13" x14ac:dyDescent="0.25">
      <c r="C552" s="1" t="s">
        <v>22</v>
      </c>
      <c r="D552" s="2">
        <v>46113</v>
      </c>
      <c r="E552" s="1" t="s">
        <v>13</v>
      </c>
      <c r="F552">
        <v>4350</v>
      </c>
      <c r="G552" s="1" t="s">
        <v>567</v>
      </c>
      <c r="H552" s="1">
        <v>3034900.5</v>
      </c>
      <c r="I552" s="1">
        <v>3019404.39</v>
      </c>
      <c r="J552" s="1">
        <v>71155.895999999993</v>
      </c>
      <c r="K552" s="1">
        <f>_SELECT_u_city_AS_Город_TO_CHAR_f_rental_start_YYYY_MM_AS_Месяц__202609232054[[#This Row],[Чистая Выручка]] * (1 + $B$4)</f>
        <v>3019404.39</v>
      </c>
      <c r="L552" s="1">
        <f>_SELECT_u_city_AS_Город_TO_CHAR_f_rental_start_YYYY_MM_AS_Месяц__202609232054[[#This Row],[Расходы на Ремонт]] * (1 + $B$5)</f>
        <v>71155.895999999993</v>
      </c>
      <c r="M55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2948248.4939999999</v>
      </c>
    </row>
    <row r="553" spans="3:13" x14ac:dyDescent="0.25">
      <c r="C553" s="1" t="s">
        <v>22</v>
      </c>
      <c r="D553" s="2">
        <v>46113</v>
      </c>
      <c r="E553" s="1" t="s">
        <v>15</v>
      </c>
      <c r="F553">
        <v>4151</v>
      </c>
      <c r="G553" s="1" t="s">
        <v>568</v>
      </c>
      <c r="H553" s="1">
        <v>2934646</v>
      </c>
      <c r="I553" s="1">
        <v>2919955.64</v>
      </c>
      <c r="J553" s="1">
        <v>51228.737999999998</v>
      </c>
      <c r="K553" s="1">
        <f>_SELECT_u_city_AS_Город_TO_CHAR_f_rental_start_YYYY_MM_AS_Месяц__202609232054[[#This Row],[Чистая Выручка]] * (1 + $B$4)</f>
        <v>2919955.64</v>
      </c>
      <c r="L553" s="1">
        <f>_SELECT_u_city_AS_Город_TO_CHAR_f_rental_start_YYYY_MM_AS_Месяц__202609232054[[#This Row],[Расходы на Ремонт]] * (1 + $B$5)</f>
        <v>51228.737999999998</v>
      </c>
      <c r="M55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2868726.9020000002</v>
      </c>
    </row>
    <row r="554" spans="3:13" x14ac:dyDescent="0.25">
      <c r="C554" s="1" t="s">
        <v>27</v>
      </c>
      <c r="D554" s="2">
        <v>46113</v>
      </c>
      <c r="E554" s="1" t="s">
        <v>9</v>
      </c>
      <c r="F554">
        <v>4182</v>
      </c>
      <c r="G554" s="1" t="s">
        <v>569</v>
      </c>
      <c r="H554" s="1">
        <v>2936133.5</v>
      </c>
      <c r="I554" s="1">
        <v>2921586.52</v>
      </c>
      <c r="J554" s="1">
        <v>0</v>
      </c>
      <c r="K554" s="1">
        <f>_SELECT_u_city_AS_Город_TO_CHAR_f_rental_start_YYYY_MM_AS_Месяц__202609232054[[#This Row],[Чистая Выручка]] * (1 + $B$4)</f>
        <v>2921586.52</v>
      </c>
      <c r="L554" s="1">
        <f>_SELECT_u_city_AS_Город_TO_CHAR_f_rental_start_YYYY_MM_AS_Месяц__202609232054[[#This Row],[Расходы на Ремонт]] * (1 + $B$5)</f>
        <v>0</v>
      </c>
      <c r="M55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2921586.52</v>
      </c>
    </row>
    <row r="555" spans="3:13" x14ac:dyDescent="0.25">
      <c r="C555" s="1" t="s">
        <v>27</v>
      </c>
      <c r="D555" s="2">
        <v>46113</v>
      </c>
      <c r="E555" s="1" t="s">
        <v>11</v>
      </c>
      <c r="F555">
        <v>4090</v>
      </c>
      <c r="G555" s="1" t="s">
        <v>570</v>
      </c>
      <c r="H555" s="1">
        <v>2862845</v>
      </c>
      <c r="I555" s="1">
        <v>2849889.85</v>
      </c>
      <c r="J555" s="1">
        <v>138195.20000000001</v>
      </c>
      <c r="K555" s="1">
        <f>_SELECT_u_city_AS_Город_TO_CHAR_f_rental_start_YYYY_MM_AS_Месяц__202609232054[[#This Row],[Чистая Выручка]] * (1 + $B$4)</f>
        <v>2849889.85</v>
      </c>
      <c r="L555" s="1">
        <f>_SELECT_u_city_AS_Город_TO_CHAR_f_rental_start_YYYY_MM_AS_Месяц__202609232054[[#This Row],[Расходы на Ремонт]] * (1 + $B$5)</f>
        <v>138195.20000000001</v>
      </c>
      <c r="M55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2711694.65</v>
      </c>
    </row>
    <row r="556" spans="3:13" x14ac:dyDescent="0.25">
      <c r="C556" s="1" t="s">
        <v>27</v>
      </c>
      <c r="D556" s="2">
        <v>46113</v>
      </c>
      <c r="E556" s="1" t="s">
        <v>13</v>
      </c>
      <c r="F556">
        <v>4173</v>
      </c>
      <c r="G556" s="1" t="s">
        <v>571</v>
      </c>
      <c r="H556" s="1">
        <v>2899009.5</v>
      </c>
      <c r="I556" s="1">
        <v>2884222.05</v>
      </c>
      <c r="J556" s="1">
        <v>68147.304000000004</v>
      </c>
      <c r="K556" s="1">
        <f>_SELECT_u_city_AS_Город_TO_CHAR_f_rental_start_YYYY_MM_AS_Месяц__202609232054[[#This Row],[Чистая Выручка]] * (1 + $B$4)</f>
        <v>2884222.05</v>
      </c>
      <c r="L556" s="1">
        <f>_SELECT_u_city_AS_Город_TO_CHAR_f_rental_start_YYYY_MM_AS_Месяц__202609232054[[#This Row],[Расходы на Ремонт]] * (1 + $B$5)</f>
        <v>68147.304000000004</v>
      </c>
      <c r="M55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2816074.7459999998</v>
      </c>
    </row>
    <row r="557" spans="3:13" x14ac:dyDescent="0.25">
      <c r="C557" s="1" t="s">
        <v>27</v>
      </c>
      <c r="D557" s="2">
        <v>46113</v>
      </c>
      <c r="E557" s="1" t="s">
        <v>15</v>
      </c>
      <c r="F557">
        <v>4018</v>
      </c>
      <c r="G557" s="1" t="s">
        <v>572</v>
      </c>
      <c r="H557" s="1">
        <v>2776720</v>
      </c>
      <c r="I557" s="1">
        <v>2763506.23</v>
      </c>
      <c r="J557" s="1">
        <v>49204.853999999999</v>
      </c>
      <c r="K557" s="1">
        <f>_SELECT_u_city_AS_Город_TO_CHAR_f_rental_start_YYYY_MM_AS_Месяц__202609232054[[#This Row],[Чистая Выручка]] * (1 + $B$4)</f>
        <v>2763506.23</v>
      </c>
      <c r="L557" s="1">
        <f>_SELECT_u_city_AS_Город_TO_CHAR_f_rental_start_YYYY_MM_AS_Месяц__202609232054[[#This Row],[Расходы на Ремонт]] * (1 + $B$5)</f>
        <v>49204.853999999999</v>
      </c>
      <c r="M55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2714301.3760000002</v>
      </c>
    </row>
    <row r="558" spans="3:13" x14ac:dyDescent="0.25">
      <c r="C558" s="1" t="s">
        <v>32</v>
      </c>
      <c r="D558" s="2">
        <v>46113</v>
      </c>
      <c r="E558" s="1" t="s">
        <v>9</v>
      </c>
      <c r="F558">
        <v>3960</v>
      </c>
      <c r="G558" s="1" t="s">
        <v>573</v>
      </c>
      <c r="H558" s="1">
        <v>2797302.5</v>
      </c>
      <c r="I558" s="1">
        <v>2784361.24</v>
      </c>
      <c r="J558" s="1">
        <v>0</v>
      </c>
      <c r="K558" s="1">
        <f>_SELECT_u_city_AS_Город_TO_CHAR_f_rental_start_YYYY_MM_AS_Месяц__202609232054[[#This Row],[Чистая Выручка]] * (1 + $B$4)</f>
        <v>2784361.24</v>
      </c>
      <c r="L558" s="1">
        <f>_SELECT_u_city_AS_Город_TO_CHAR_f_rental_start_YYYY_MM_AS_Месяц__202609232054[[#This Row],[Расходы на Ремонт]] * (1 + $B$5)</f>
        <v>0</v>
      </c>
      <c r="M55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2784361.24</v>
      </c>
    </row>
    <row r="559" spans="3:13" x14ac:dyDescent="0.25">
      <c r="C559" s="1" t="s">
        <v>32</v>
      </c>
      <c r="D559" s="2">
        <v>46113</v>
      </c>
      <c r="E559" s="1" t="s">
        <v>11</v>
      </c>
      <c r="F559">
        <v>4204</v>
      </c>
      <c r="G559" s="1" t="s">
        <v>574</v>
      </c>
      <c r="H559" s="1">
        <v>2979361.5</v>
      </c>
      <c r="I559" s="1">
        <v>2965678.41</v>
      </c>
      <c r="J559" s="1">
        <v>144303.5</v>
      </c>
      <c r="K559" s="1">
        <f>_SELECT_u_city_AS_Город_TO_CHAR_f_rental_start_YYYY_MM_AS_Месяц__202609232054[[#This Row],[Чистая Выручка]] * (1 + $B$4)</f>
        <v>2965678.41</v>
      </c>
      <c r="L559" s="1">
        <f>_SELECT_u_city_AS_Город_TO_CHAR_f_rental_start_YYYY_MM_AS_Месяц__202609232054[[#This Row],[Расходы на Ремонт]] * (1 + $B$5)</f>
        <v>144303.5</v>
      </c>
      <c r="M55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2821374.91</v>
      </c>
    </row>
    <row r="560" spans="3:13" x14ac:dyDescent="0.25">
      <c r="C560" s="1" t="s">
        <v>32</v>
      </c>
      <c r="D560" s="2">
        <v>46113</v>
      </c>
      <c r="E560" s="1" t="s">
        <v>13</v>
      </c>
      <c r="F560">
        <v>4155</v>
      </c>
      <c r="G560" s="1" t="s">
        <v>575</v>
      </c>
      <c r="H560" s="1">
        <v>2887077.5</v>
      </c>
      <c r="I560" s="1">
        <v>2872646.09</v>
      </c>
      <c r="J560" s="1">
        <v>67457.376000000004</v>
      </c>
      <c r="K560" s="1">
        <f>_SELECT_u_city_AS_Город_TO_CHAR_f_rental_start_YYYY_MM_AS_Месяц__202609232054[[#This Row],[Чистая Выручка]] * (1 + $B$4)</f>
        <v>2872646.09</v>
      </c>
      <c r="L560" s="1">
        <f>_SELECT_u_city_AS_Город_TO_CHAR_f_rental_start_YYYY_MM_AS_Месяц__202609232054[[#This Row],[Расходы на Ремонт]] * (1 + $B$5)</f>
        <v>67457.376000000004</v>
      </c>
      <c r="M56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2805188.7139999997</v>
      </c>
    </row>
    <row r="561" spans="3:13" x14ac:dyDescent="0.25">
      <c r="C561" s="1" t="s">
        <v>32</v>
      </c>
      <c r="D561" s="2">
        <v>46113</v>
      </c>
      <c r="E561" s="1" t="s">
        <v>15</v>
      </c>
      <c r="F561">
        <v>3993</v>
      </c>
      <c r="G561" s="1" t="s">
        <v>576</v>
      </c>
      <c r="H561" s="1">
        <v>2770614</v>
      </c>
      <c r="I561" s="1">
        <v>2757127.38</v>
      </c>
      <c r="J561" s="1">
        <v>49432.913999999997</v>
      </c>
      <c r="K561" s="1">
        <f>_SELECT_u_city_AS_Город_TO_CHAR_f_rental_start_YYYY_MM_AS_Месяц__202609232054[[#This Row],[Чистая Выручка]] * (1 + $B$4)</f>
        <v>2757127.38</v>
      </c>
      <c r="L561" s="1">
        <f>_SELECT_u_city_AS_Город_TO_CHAR_f_rental_start_YYYY_MM_AS_Месяц__202609232054[[#This Row],[Расходы на Ремонт]] * (1 + $B$5)</f>
        <v>49432.913999999997</v>
      </c>
      <c r="M56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2707694.466</v>
      </c>
    </row>
    <row r="562" spans="3:13" x14ac:dyDescent="0.25">
      <c r="C562" s="1" t="s">
        <v>8</v>
      </c>
      <c r="D562" s="2">
        <v>46143</v>
      </c>
      <c r="E562" s="1" t="s">
        <v>9</v>
      </c>
      <c r="F562">
        <v>4202</v>
      </c>
      <c r="G562" s="1" t="s">
        <v>577</v>
      </c>
      <c r="H562" s="1">
        <v>2936760</v>
      </c>
      <c r="I562" s="1">
        <v>2922354.13</v>
      </c>
      <c r="J562" s="1">
        <v>0</v>
      </c>
      <c r="K562" s="1">
        <f>_SELECT_u_city_AS_Город_TO_CHAR_f_rental_start_YYYY_MM_AS_Месяц__202609232054[[#This Row],[Чистая Выручка]] * (1 + $B$4)</f>
        <v>2922354.13</v>
      </c>
      <c r="L562" s="1">
        <f>_SELECT_u_city_AS_Город_TO_CHAR_f_rental_start_YYYY_MM_AS_Месяц__202609232054[[#This Row],[Расходы на Ремонт]] * (1 + $B$5)</f>
        <v>0</v>
      </c>
      <c r="M56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2922354.13</v>
      </c>
    </row>
    <row r="563" spans="3:13" x14ac:dyDescent="0.25">
      <c r="C563" s="1" t="s">
        <v>8</v>
      </c>
      <c r="D563" s="2">
        <v>46143</v>
      </c>
      <c r="E563" s="1" t="s">
        <v>11</v>
      </c>
      <c r="F563">
        <v>4094</v>
      </c>
      <c r="G563" s="1" t="s">
        <v>578</v>
      </c>
      <c r="H563" s="1">
        <v>2906361</v>
      </c>
      <c r="I563" s="1">
        <v>2892071.21</v>
      </c>
      <c r="J563" s="1">
        <v>141015.02499999999</v>
      </c>
      <c r="K563" s="1">
        <f>_SELECT_u_city_AS_Город_TO_CHAR_f_rental_start_YYYY_MM_AS_Месяц__202609232054[[#This Row],[Чистая Выручка]] * (1 + $B$4)</f>
        <v>2892071.21</v>
      </c>
      <c r="L563" s="1">
        <f>_SELECT_u_city_AS_Город_TO_CHAR_f_rental_start_YYYY_MM_AS_Месяц__202609232054[[#This Row],[Расходы на Ремонт]] * (1 + $B$5)</f>
        <v>141015.02499999999</v>
      </c>
      <c r="M56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2751056.1850000001</v>
      </c>
    </row>
    <row r="564" spans="3:13" x14ac:dyDescent="0.25">
      <c r="C564" s="1" t="s">
        <v>8</v>
      </c>
      <c r="D564" s="2">
        <v>46143</v>
      </c>
      <c r="E564" s="1" t="s">
        <v>13</v>
      </c>
      <c r="F564">
        <v>4146</v>
      </c>
      <c r="G564" s="1" t="s">
        <v>579</v>
      </c>
      <c r="H564" s="1">
        <v>2862630.5</v>
      </c>
      <c r="I564" s="1">
        <v>2848741.22</v>
      </c>
      <c r="J564" s="1">
        <v>67004.724000000002</v>
      </c>
      <c r="K564" s="1">
        <f>_SELECT_u_city_AS_Город_TO_CHAR_f_rental_start_YYYY_MM_AS_Месяц__202609232054[[#This Row],[Чистая Выручка]] * (1 + $B$4)</f>
        <v>2848741.22</v>
      </c>
      <c r="L564" s="1">
        <f>_SELECT_u_city_AS_Город_TO_CHAR_f_rental_start_YYYY_MM_AS_Месяц__202609232054[[#This Row],[Расходы на Ремонт]] * (1 + $B$5)</f>
        <v>67004.724000000002</v>
      </c>
      <c r="M56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2781736.4960000003</v>
      </c>
    </row>
    <row r="565" spans="3:13" x14ac:dyDescent="0.25">
      <c r="C565" s="1" t="s">
        <v>8</v>
      </c>
      <c r="D565" s="2">
        <v>46143</v>
      </c>
      <c r="E565" s="1" t="s">
        <v>15</v>
      </c>
      <c r="F565">
        <v>4122</v>
      </c>
      <c r="G565" s="1" t="s">
        <v>580</v>
      </c>
      <c r="H565" s="1">
        <v>2862945</v>
      </c>
      <c r="I565" s="1">
        <v>2849424.68</v>
      </c>
      <c r="J565" s="1">
        <v>50772.267</v>
      </c>
      <c r="K565" s="1">
        <f>_SELECT_u_city_AS_Город_TO_CHAR_f_rental_start_YYYY_MM_AS_Месяц__202609232054[[#This Row],[Чистая Выручка]] * (1 + $B$4)</f>
        <v>2849424.68</v>
      </c>
      <c r="L565" s="1">
        <f>_SELECT_u_city_AS_Город_TO_CHAR_f_rental_start_YYYY_MM_AS_Месяц__202609232054[[#This Row],[Расходы на Ремонт]] * (1 + $B$5)</f>
        <v>50772.267</v>
      </c>
      <c r="M56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2798652.4130000002</v>
      </c>
    </row>
    <row r="566" spans="3:13" x14ac:dyDescent="0.25">
      <c r="C566" s="1" t="s">
        <v>17</v>
      </c>
      <c r="D566" s="2">
        <v>46143</v>
      </c>
      <c r="E566" s="1" t="s">
        <v>9</v>
      </c>
      <c r="F566">
        <v>4370</v>
      </c>
      <c r="G566" s="1" t="s">
        <v>581</v>
      </c>
      <c r="H566" s="1">
        <v>3073642.5</v>
      </c>
      <c r="I566" s="1">
        <v>3058174.22</v>
      </c>
      <c r="J566" s="1">
        <v>0</v>
      </c>
      <c r="K566" s="1">
        <f>_SELECT_u_city_AS_Город_TO_CHAR_f_rental_start_YYYY_MM_AS_Месяц__202609232054[[#This Row],[Чистая Выручка]] * (1 + $B$4)</f>
        <v>3058174.22</v>
      </c>
      <c r="L566" s="1">
        <f>_SELECT_u_city_AS_Город_TO_CHAR_f_rental_start_YYYY_MM_AS_Месяц__202609232054[[#This Row],[Расходы на Ремонт]] * (1 + $B$5)</f>
        <v>0</v>
      </c>
      <c r="M56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3058174.22</v>
      </c>
    </row>
    <row r="567" spans="3:13" x14ac:dyDescent="0.25">
      <c r="C567" s="1" t="s">
        <v>17</v>
      </c>
      <c r="D567" s="2">
        <v>46143</v>
      </c>
      <c r="E567" s="1" t="s">
        <v>11</v>
      </c>
      <c r="F567">
        <v>4167</v>
      </c>
      <c r="G567" s="1" t="s">
        <v>582</v>
      </c>
      <c r="H567" s="1">
        <v>2925253</v>
      </c>
      <c r="I567" s="1">
        <v>2912184.55</v>
      </c>
      <c r="J567" s="1">
        <v>143027.20000000001</v>
      </c>
      <c r="K567" s="1">
        <f>_SELECT_u_city_AS_Город_TO_CHAR_f_rental_start_YYYY_MM_AS_Месяц__202609232054[[#This Row],[Чистая Выручка]] * (1 + $B$4)</f>
        <v>2912184.55</v>
      </c>
      <c r="L567" s="1">
        <f>_SELECT_u_city_AS_Город_TO_CHAR_f_rental_start_YYYY_MM_AS_Месяц__202609232054[[#This Row],[Расходы на Ремонт]] * (1 + $B$5)</f>
        <v>143027.20000000001</v>
      </c>
      <c r="M56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2769157.3499999996</v>
      </c>
    </row>
    <row r="568" spans="3:13" x14ac:dyDescent="0.25">
      <c r="C568" s="1" t="s">
        <v>17</v>
      </c>
      <c r="D568" s="2">
        <v>46143</v>
      </c>
      <c r="E568" s="1" t="s">
        <v>13</v>
      </c>
      <c r="F568">
        <v>4242</v>
      </c>
      <c r="G568" s="1" t="s">
        <v>583</v>
      </c>
      <c r="H568" s="1">
        <v>2978910</v>
      </c>
      <c r="I568" s="1">
        <v>2965342.93</v>
      </c>
      <c r="J568" s="1">
        <v>69956.759999999995</v>
      </c>
      <c r="K568" s="1">
        <f>_SELECT_u_city_AS_Город_TO_CHAR_f_rental_start_YYYY_MM_AS_Месяц__202609232054[[#This Row],[Чистая Выручка]] * (1 + $B$4)</f>
        <v>2965342.93</v>
      </c>
      <c r="L568" s="1">
        <f>_SELECT_u_city_AS_Город_TO_CHAR_f_rental_start_YYYY_MM_AS_Месяц__202609232054[[#This Row],[Расходы на Ремонт]] * (1 + $B$5)</f>
        <v>69956.759999999995</v>
      </c>
      <c r="M56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2895386.1700000004</v>
      </c>
    </row>
    <row r="569" spans="3:13" x14ac:dyDescent="0.25">
      <c r="C569" s="1" t="s">
        <v>17</v>
      </c>
      <c r="D569" s="2">
        <v>46143</v>
      </c>
      <c r="E569" s="1" t="s">
        <v>15</v>
      </c>
      <c r="F569">
        <v>4062</v>
      </c>
      <c r="G569" s="1" t="s">
        <v>584</v>
      </c>
      <c r="H569" s="1">
        <v>2820252.5</v>
      </c>
      <c r="I569" s="1">
        <v>2806166.88</v>
      </c>
      <c r="J569" s="1">
        <v>49484.889000000003</v>
      </c>
      <c r="K569" s="1">
        <f>_SELECT_u_city_AS_Город_TO_CHAR_f_rental_start_YYYY_MM_AS_Месяц__202609232054[[#This Row],[Чистая Выручка]] * (1 + $B$4)</f>
        <v>2806166.88</v>
      </c>
      <c r="L569" s="1">
        <f>_SELECT_u_city_AS_Город_TO_CHAR_f_rental_start_YYYY_MM_AS_Месяц__202609232054[[#This Row],[Расходы на Ремонт]] * (1 + $B$5)</f>
        <v>49484.889000000003</v>
      </c>
      <c r="M56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2756681.9909999999</v>
      </c>
    </row>
    <row r="570" spans="3:13" x14ac:dyDescent="0.25">
      <c r="C570" s="1" t="s">
        <v>22</v>
      </c>
      <c r="D570" s="2">
        <v>46143</v>
      </c>
      <c r="E570" s="1" t="s">
        <v>9</v>
      </c>
      <c r="F570">
        <v>4325</v>
      </c>
      <c r="G570" s="1" t="s">
        <v>585</v>
      </c>
      <c r="H570" s="1">
        <v>3022502</v>
      </c>
      <c r="I570" s="1">
        <v>3007805.33</v>
      </c>
      <c r="J570" s="1">
        <v>0</v>
      </c>
      <c r="K570" s="1">
        <f>_SELECT_u_city_AS_Город_TO_CHAR_f_rental_start_YYYY_MM_AS_Месяц__202609232054[[#This Row],[Чистая Выручка]] * (1 + $B$4)</f>
        <v>3007805.33</v>
      </c>
      <c r="L570" s="1">
        <f>_SELECT_u_city_AS_Город_TO_CHAR_f_rental_start_YYYY_MM_AS_Месяц__202609232054[[#This Row],[Расходы на Ремонт]] * (1 + $B$5)</f>
        <v>0</v>
      </c>
      <c r="M57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3007805.33</v>
      </c>
    </row>
    <row r="571" spans="3:13" x14ac:dyDescent="0.25">
      <c r="C571" s="1" t="s">
        <v>22</v>
      </c>
      <c r="D571" s="2">
        <v>46143</v>
      </c>
      <c r="E571" s="1" t="s">
        <v>11</v>
      </c>
      <c r="F571">
        <v>4250</v>
      </c>
      <c r="G571" s="1" t="s">
        <v>586</v>
      </c>
      <c r="H571" s="1">
        <v>3000178.5</v>
      </c>
      <c r="I571" s="1">
        <v>2985088.45</v>
      </c>
      <c r="J571" s="1">
        <v>144979.47500000001</v>
      </c>
      <c r="K571" s="1">
        <f>_SELECT_u_city_AS_Город_TO_CHAR_f_rental_start_YYYY_MM_AS_Месяц__202609232054[[#This Row],[Чистая Выручка]] * (1 + $B$4)</f>
        <v>2985088.45</v>
      </c>
      <c r="L571" s="1">
        <f>_SELECT_u_city_AS_Город_TO_CHAR_f_rental_start_YYYY_MM_AS_Месяц__202609232054[[#This Row],[Расходы на Ремонт]] * (1 + $B$5)</f>
        <v>144979.47500000001</v>
      </c>
      <c r="M57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2840108.9750000001</v>
      </c>
    </row>
    <row r="572" spans="3:13" x14ac:dyDescent="0.25">
      <c r="C572" s="1" t="s">
        <v>22</v>
      </c>
      <c r="D572" s="2">
        <v>46143</v>
      </c>
      <c r="E572" s="1" t="s">
        <v>13</v>
      </c>
      <c r="F572">
        <v>4252</v>
      </c>
      <c r="G572" s="1" t="s">
        <v>587</v>
      </c>
      <c r="H572" s="1">
        <v>3002649.5</v>
      </c>
      <c r="I572" s="1">
        <v>2988042.46</v>
      </c>
      <c r="J572" s="1">
        <v>70114.284</v>
      </c>
      <c r="K572" s="1">
        <f>_SELECT_u_city_AS_Город_TO_CHAR_f_rental_start_YYYY_MM_AS_Месяц__202609232054[[#This Row],[Чистая Выручка]] * (1 + $B$4)</f>
        <v>2988042.46</v>
      </c>
      <c r="L572" s="1">
        <f>_SELECT_u_city_AS_Город_TO_CHAR_f_rental_start_YYYY_MM_AS_Месяц__202609232054[[#This Row],[Расходы на Ремонт]] * (1 + $B$5)</f>
        <v>70114.284</v>
      </c>
      <c r="M57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2917928.176</v>
      </c>
    </row>
    <row r="573" spans="3:13" x14ac:dyDescent="0.25">
      <c r="C573" s="1" t="s">
        <v>22</v>
      </c>
      <c r="D573" s="2">
        <v>46143</v>
      </c>
      <c r="E573" s="1" t="s">
        <v>15</v>
      </c>
      <c r="F573">
        <v>4160</v>
      </c>
      <c r="G573" s="1" t="s">
        <v>588</v>
      </c>
      <c r="H573" s="1">
        <v>2911358</v>
      </c>
      <c r="I573" s="1">
        <v>2896731.84</v>
      </c>
      <c r="J573" s="1">
        <v>51777.665999999997</v>
      </c>
      <c r="K573" s="1">
        <f>_SELECT_u_city_AS_Город_TO_CHAR_f_rental_start_YYYY_MM_AS_Месяц__202609232054[[#This Row],[Чистая Выручка]] * (1 + $B$4)</f>
        <v>2896731.84</v>
      </c>
      <c r="L573" s="1">
        <f>_SELECT_u_city_AS_Город_TO_CHAR_f_rental_start_YYYY_MM_AS_Месяц__202609232054[[#This Row],[Расходы на Ремонт]] * (1 + $B$5)</f>
        <v>51777.665999999997</v>
      </c>
      <c r="M57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2844954.1739999996</v>
      </c>
    </row>
    <row r="574" spans="3:13" x14ac:dyDescent="0.25">
      <c r="C574" s="1" t="s">
        <v>27</v>
      </c>
      <c r="D574" s="2">
        <v>46143</v>
      </c>
      <c r="E574" s="1" t="s">
        <v>9</v>
      </c>
      <c r="F574">
        <v>4166</v>
      </c>
      <c r="G574" s="1" t="s">
        <v>589</v>
      </c>
      <c r="H574" s="1">
        <v>2937154</v>
      </c>
      <c r="I574" s="1">
        <v>2922361.45</v>
      </c>
      <c r="J574" s="1">
        <v>0</v>
      </c>
      <c r="K574" s="1">
        <f>_SELECT_u_city_AS_Город_TO_CHAR_f_rental_start_YYYY_MM_AS_Месяц__202609232054[[#This Row],[Чистая Выручка]] * (1 + $B$4)</f>
        <v>2922361.45</v>
      </c>
      <c r="L574" s="1">
        <f>_SELECT_u_city_AS_Город_TO_CHAR_f_rental_start_YYYY_MM_AS_Месяц__202609232054[[#This Row],[Расходы на Ремонт]] * (1 + $B$5)</f>
        <v>0</v>
      </c>
      <c r="M57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2922361.45</v>
      </c>
    </row>
    <row r="575" spans="3:13" x14ac:dyDescent="0.25">
      <c r="C575" s="1" t="s">
        <v>27</v>
      </c>
      <c r="D575" s="2">
        <v>46143</v>
      </c>
      <c r="E575" s="1" t="s">
        <v>11</v>
      </c>
      <c r="F575">
        <v>4177</v>
      </c>
      <c r="G575" s="1" t="s">
        <v>590</v>
      </c>
      <c r="H575" s="1">
        <v>2896145</v>
      </c>
      <c r="I575" s="1">
        <v>2882394.16</v>
      </c>
      <c r="J575" s="1">
        <v>142251.17499999999</v>
      </c>
      <c r="K575" s="1">
        <f>_SELECT_u_city_AS_Город_TO_CHAR_f_rental_start_YYYY_MM_AS_Месяц__202609232054[[#This Row],[Чистая Выручка]] * (1 + $B$4)</f>
        <v>2882394.16</v>
      </c>
      <c r="L575" s="1">
        <f>_SELECT_u_city_AS_Город_TO_CHAR_f_rental_start_YYYY_MM_AS_Месяц__202609232054[[#This Row],[Расходы на Ремонт]] * (1 + $B$5)</f>
        <v>142251.17499999999</v>
      </c>
      <c r="M57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2740142.9850000003</v>
      </c>
    </row>
    <row r="576" spans="3:13" x14ac:dyDescent="0.25">
      <c r="C576" s="1" t="s">
        <v>27</v>
      </c>
      <c r="D576" s="2">
        <v>46143</v>
      </c>
      <c r="E576" s="1" t="s">
        <v>13</v>
      </c>
      <c r="F576">
        <v>4262</v>
      </c>
      <c r="G576" s="1" t="s">
        <v>591</v>
      </c>
      <c r="H576" s="1">
        <v>2998266.5</v>
      </c>
      <c r="I576" s="1">
        <v>2984278.31</v>
      </c>
      <c r="J576" s="1">
        <v>71326.331999999995</v>
      </c>
      <c r="K576" s="1">
        <f>_SELECT_u_city_AS_Город_TO_CHAR_f_rental_start_YYYY_MM_AS_Месяц__202609232054[[#This Row],[Чистая Выручка]] * (1 + $B$4)</f>
        <v>2984278.31</v>
      </c>
      <c r="L576" s="1">
        <f>_SELECT_u_city_AS_Город_TO_CHAR_f_rental_start_YYYY_MM_AS_Месяц__202609232054[[#This Row],[Расходы на Ремонт]] * (1 + $B$5)</f>
        <v>71326.331999999995</v>
      </c>
      <c r="M57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2912951.9780000001</v>
      </c>
    </row>
    <row r="577" spans="3:13" x14ac:dyDescent="0.25">
      <c r="C577" s="1" t="s">
        <v>27</v>
      </c>
      <c r="D577" s="2">
        <v>46143</v>
      </c>
      <c r="E577" s="1" t="s">
        <v>15</v>
      </c>
      <c r="F577">
        <v>4059</v>
      </c>
      <c r="G577" s="1" t="s">
        <v>592</v>
      </c>
      <c r="H577" s="1">
        <v>2814108</v>
      </c>
      <c r="I577" s="1">
        <v>2799899.3</v>
      </c>
      <c r="J577" s="1">
        <v>49938.093000000001</v>
      </c>
      <c r="K577" s="1">
        <f>_SELECT_u_city_AS_Город_TO_CHAR_f_rental_start_YYYY_MM_AS_Месяц__202609232054[[#This Row],[Чистая Выручка]] * (1 + $B$4)</f>
        <v>2799899.3</v>
      </c>
      <c r="L577" s="1">
        <f>_SELECT_u_city_AS_Город_TO_CHAR_f_rental_start_YYYY_MM_AS_Месяц__202609232054[[#This Row],[Расходы на Ремонт]] * (1 + $B$5)</f>
        <v>49938.093000000001</v>
      </c>
      <c r="M57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2749961.2069999999</v>
      </c>
    </row>
    <row r="578" spans="3:13" x14ac:dyDescent="0.25">
      <c r="C578" s="1" t="s">
        <v>32</v>
      </c>
      <c r="D578" s="2">
        <v>46143</v>
      </c>
      <c r="E578" s="1" t="s">
        <v>9</v>
      </c>
      <c r="F578">
        <v>4169</v>
      </c>
      <c r="G578" s="1" t="s">
        <v>593</v>
      </c>
      <c r="H578" s="1">
        <v>2885138</v>
      </c>
      <c r="I578" s="1">
        <v>2870214.09</v>
      </c>
      <c r="J578" s="1">
        <v>0</v>
      </c>
      <c r="K578" s="1">
        <f>_SELECT_u_city_AS_Город_TO_CHAR_f_rental_start_YYYY_MM_AS_Месяц__202609232054[[#This Row],[Чистая Выручка]] * (1 + $B$4)</f>
        <v>2870214.09</v>
      </c>
      <c r="L578" s="1">
        <f>_SELECT_u_city_AS_Город_TO_CHAR_f_rental_start_YYYY_MM_AS_Месяц__202609232054[[#This Row],[Расходы на Ремонт]] * (1 + $B$5)</f>
        <v>0</v>
      </c>
      <c r="M57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2870214.09</v>
      </c>
    </row>
    <row r="579" spans="3:13" x14ac:dyDescent="0.25">
      <c r="C579" s="1" t="s">
        <v>32</v>
      </c>
      <c r="D579" s="2">
        <v>46143</v>
      </c>
      <c r="E579" s="1" t="s">
        <v>11</v>
      </c>
      <c r="F579">
        <v>4097</v>
      </c>
      <c r="G579" s="1" t="s">
        <v>594</v>
      </c>
      <c r="H579" s="1">
        <v>2853670</v>
      </c>
      <c r="I579" s="1">
        <v>2840467.43</v>
      </c>
      <c r="J579" s="1">
        <v>139544.72500000001</v>
      </c>
      <c r="K579" s="1">
        <f>_SELECT_u_city_AS_Город_TO_CHAR_f_rental_start_YYYY_MM_AS_Месяц__202609232054[[#This Row],[Чистая Выручка]] * (1 + $B$4)</f>
        <v>2840467.43</v>
      </c>
      <c r="L579" s="1">
        <f>_SELECT_u_city_AS_Город_TO_CHAR_f_rental_start_YYYY_MM_AS_Месяц__202609232054[[#This Row],[Расходы на Ремонт]] * (1 + $B$5)</f>
        <v>139544.72500000001</v>
      </c>
      <c r="M57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2700922.7050000001</v>
      </c>
    </row>
    <row r="580" spans="3:13" x14ac:dyDescent="0.25">
      <c r="C580" s="1" t="s">
        <v>32</v>
      </c>
      <c r="D580" s="2">
        <v>46143</v>
      </c>
      <c r="E580" s="1" t="s">
        <v>13</v>
      </c>
      <c r="F580">
        <v>4258</v>
      </c>
      <c r="G580" s="1" t="s">
        <v>595</v>
      </c>
      <c r="H580" s="1">
        <v>2989328</v>
      </c>
      <c r="I580" s="1">
        <v>2975212.17</v>
      </c>
      <c r="J580" s="1">
        <v>69412.248000000007</v>
      </c>
      <c r="K580" s="1">
        <f>_SELECT_u_city_AS_Город_TO_CHAR_f_rental_start_YYYY_MM_AS_Месяц__202609232054[[#This Row],[Чистая Выручка]] * (1 + $B$4)</f>
        <v>2975212.17</v>
      </c>
      <c r="L580" s="1">
        <f>_SELECT_u_city_AS_Город_TO_CHAR_f_rental_start_YYYY_MM_AS_Месяц__202609232054[[#This Row],[Расходы на Ремонт]] * (1 + $B$5)</f>
        <v>69412.248000000007</v>
      </c>
      <c r="M58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2905799.9219999998</v>
      </c>
    </row>
    <row r="581" spans="3:13" x14ac:dyDescent="0.25">
      <c r="C581" s="1" t="s">
        <v>32</v>
      </c>
      <c r="D581" s="2">
        <v>46143</v>
      </c>
      <c r="E581" s="1" t="s">
        <v>15</v>
      </c>
      <c r="F581">
        <v>4108</v>
      </c>
      <c r="G581" s="1" t="s">
        <v>596</v>
      </c>
      <c r="H581" s="1">
        <v>2868043.5</v>
      </c>
      <c r="I581" s="1">
        <v>2854572.36</v>
      </c>
      <c r="J581" s="1">
        <v>49985.739000000001</v>
      </c>
      <c r="K581" s="1">
        <f>_SELECT_u_city_AS_Город_TO_CHAR_f_rental_start_YYYY_MM_AS_Месяц__202609232054[[#This Row],[Чистая Выручка]] * (1 + $B$4)</f>
        <v>2854572.36</v>
      </c>
      <c r="L581" s="1">
        <f>_SELECT_u_city_AS_Город_TO_CHAR_f_rental_start_YYYY_MM_AS_Месяц__202609232054[[#This Row],[Расходы на Ремонт]] * (1 + $B$5)</f>
        <v>49985.739000000001</v>
      </c>
      <c r="M58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2804586.6209999998</v>
      </c>
    </row>
    <row r="582" spans="3:13" x14ac:dyDescent="0.25">
      <c r="C582" s="1" t="s">
        <v>8</v>
      </c>
      <c r="D582" s="2">
        <v>46174</v>
      </c>
      <c r="E582" s="1" t="s">
        <v>9</v>
      </c>
      <c r="F582">
        <v>4176</v>
      </c>
      <c r="G582" s="1" t="s">
        <v>597</v>
      </c>
      <c r="H582" s="1">
        <v>2912012</v>
      </c>
      <c r="I582" s="1">
        <v>2896560.35</v>
      </c>
      <c r="J582" s="1">
        <v>0</v>
      </c>
      <c r="K582" s="1">
        <f>_SELECT_u_city_AS_Город_TO_CHAR_f_rental_start_YYYY_MM_AS_Месяц__202609232054[[#This Row],[Чистая Выручка]] * (1 + $B$4)</f>
        <v>2896560.35</v>
      </c>
      <c r="L582" s="1">
        <f>_SELECT_u_city_AS_Город_TO_CHAR_f_rental_start_YYYY_MM_AS_Месяц__202609232054[[#This Row],[Расходы на Ремонт]] * (1 + $B$5)</f>
        <v>0</v>
      </c>
      <c r="M58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2896560.35</v>
      </c>
    </row>
    <row r="583" spans="3:13" x14ac:dyDescent="0.25">
      <c r="C583" s="1" t="s">
        <v>8</v>
      </c>
      <c r="D583" s="2">
        <v>46174</v>
      </c>
      <c r="E583" s="1" t="s">
        <v>11</v>
      </c>
      <c r="F583">
        <v>4128</v>
      </c>
      <c r="G583" s="1" t="s">
        <v>598</v>
      </c>
      <c r="H583" s="1">
        <v>2902328.5</v>
      </c>
      <c r="I583" s="1">
        <v>2888100.56</v>
      </c>
      <c r="J583" s="1">
        <v>143079.375</v>
      </c>
      <c r="K583" s="1">
        <f>_SELECT_u_city_AS_Город_TO_CHAR_f_rental_start_YYYY_MM_AS_Месяц__202609232054[[#This Row],[Чистая Выручка]] * (1 + $B$4)</f>
        <v>2888100.56</v>
      </c>
      <c r="L583" s="1">
        <f>_SELECT_u_city_AS_Город_TO_CHAR_f_rental_start_YYYY_MM_AS_Месяц__202609232054[[#This Row],[Расходы на Ремонт]] * (1 + $B$5)</f>
        <v>143079.375</v>
      </c>
      <c r="M58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2745021.1850000001</v>
      </c>
    </row>
    <row r="584" spans="3:13" x14ac:dyDescent="0.25">
      <c r="C584" s="1" t="s">
        <v>8</v>
      </c>
      <c r="D584" s="2">
        <v>46174</v>
      </c>
      <c r="E584" s="1" t="s">
        <v>13</v>
      </c>
      <c r="F584">
        <v>4123</v>
      </c>
      <c r="G584" s="1" t="s">
        <v>599</v>
      </c>
      <c r="H584" s="1">
        <v>2886340.5</v>
      </c>
      <c r="I584" s="1">
        <v>2872268.77</v>
      </c>
      <c r="J584" s="1">
        <v>67715.843999999997</v>
      </c>
      <c r="K584" s="1">
        <f>_SELECT_u_city_AS_Город_TO_CHAR_f_rental_start_YYYY_MM_AS_Месяц__202609232054[[#This Row],[Чистая Выручка]] * (1 + $B$4)</f>
        <v>2872268.77</v>
      </c>
      <c r="L584" s="1">
        <f>_SELECT_u_city_AS_Город_TO_CHAR_f_rental_start_YYYY_MM_AS_Месяц__202609232054[[#This Row],[Расходы на Ремонт]] * (1 + $B$5)</f>
        <v>67715.843999999997</v>
      </c>
      <c r="M58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2804552.926</v>
      </c>
    </row>
    <row r="585" spans="3:13" x14ac:dyDescent="0.25">
      <c r="C585" s="1" t="s">
        <v>8</v>
      </c>
      <c r="D585" s="2">
        <v>46174</v>
      </c>
      <c r="E585" s="1" t="s">
        <v>15</v>
      </c>
      <c r="F585">
        <v>4123</v>
      </c>
      <c r="G585" s="1" t="s">
        <v>600</v>
      </c>
      <c r="H585" s="1">
        <v>2884846</v>
      </c>
      <c r="I585" s="1">
        <v>2870552.71</v>
      </c>
      <c r="J585" s="1">
        <v>50730.516000000003</v>
      </c>
      <c r="K585" s="1">
        <f>_SELECT_u_city_AS_Город_TO_CHAR_f_rental_start_YYYY_MM_AS_Месяц__202609232054[[#This Row],[Чистая Выручка]] * (1 + $B$4)</f>
        <v>2870552.71</v>
      </c>
      <c r="L585" s="1">
        <f>_SELECT_u_city_AS_Город_TO_CHAR_f_rental_start_YYYY_MM_AS_Месяц__202609232054[[#This Row],[Расходы на Ремонт]] * (1 + $B$5)</f>
        <v>50730.516000000003</v>
      </c>
      <c r="M58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2819822.1940000001</v>
      </c>
    </row>
    <row r="586" spans="3:13" x14ac:dyDescent="0.25">
      <c r="C586" s="1" t="s">
        <v>17</v>
      </c>
      <c r="D586" s="2">
        <v>46174</v>
      </c>
      <c r="E586" s="1" t="s">
        <v>9</v>
      </c>
      <c r="F586">
        <v>4098</v>
      </c>
      <c r="G586" s="1" t="s">
        <v>601</v>
      </c>
      <c r="H586" s="1">
        <v>2828523</v>
      </c>
      <c r="I586" s="1">
        <v>2813874.67</v>
      </c>
      <c r="J586" s="1">
        <v>0</v>
      </c>
      <c r="K586" s="1">
        <f>_SELECT_u_city_AS_Город_TO_CHAR_f_rental_start_YYYY_MM_AS_Месяц__202609232054[[#This Row],[Чистая Выручка]] * (1 + $B$4)</f>
        <v>2813874.67</v>
      </c>
      <c r="L586" s="1">
        <f>_SELECT_u_city_AS_Город_TO_CHAR_f_rental_start_YYYY_MM_AS_Месяц__202609232054[[#This Row],[Расходы на Ремонт]] * (1 + $B$5)</f>
        <v>0</v>
      </c>
      <c r="M58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2813874.67</v>
      </c>
    </row>
    <row r="587" spans="3:13" x14ac:dyDescent="0.25">
      <c r="C587" s="1" t="s">
        <v>17</v>
      </c>
      <c r="D587" s="2">
        <v>46174</v>
      </c>
      <c r="E587" s="1" t="s">
        <v>11</v>
      </c>
      <c r="F587">
        <v>4130</v>
      </c>
      <c r="G587" s="1" t="s">
        <v>602</v>
      </c>
      <c r="H587" s="1">
        <v>2856100</v>
      </c>
      <c r="I587" s="1">
        <v>2841865.76</v>
      </c>
      <c r="J587" s="1">
        <v>138543.47500000001</v>
      </c>
      <c r="K587" s="1">
        <f>_SELECT_u_city_AS_Город_TO_CHAR_f_rental_start_YYYY_MM_AS_Месяц__202609232054[[#This Row],[Чистая Выручка]] * (1 + $B$4)</f>
        <v>2841865.76</v>
      </c>
      <c r="L587" s="1">
        <f>_SELECT_u_city_AS_Город_TO_CHAR_f_rental_start_YYYY_MM_AS_Месяц__202609232054[[#This Row],[Расходы на Ремонт]] * (1 + $B$5)</f>
        <v>138543.47500000001</v>
      </c>
      <c r="M58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2703322.2849999997</v>
      </c>
    </row>
    <row r="588" spans="3:13" x14ac:dyDescent="0.25">
      <c r="C588" s="1" t="s">
        <v>17</v>
      </c>
      <c r="D588" s="2">
        <v>46174</v>
      </c>
      <c r="E588" s="1" t="s">
        <v>13</v>
      </c>
      <c r="F588">
        <v>4135</v>
      </c>
      <c r="G588" s="1" t="s">
        <v>603</v>
      </c>
      <c r="H588" s="1">
        <v>2882769.5</v>
      </c>
      <c r="I588" s="1">
        <v>2869505.19</v>
      </c>
      <c r="J588" s="1">
        <v>68067.767999999996</v>
      </c>
      <c r="K588" s="1">
        <f>_SELECT_u_city_AS_Город_TO_CHAR_f_rental_start_YYYY_MM_AS_Месяц__202609232054[[#This Row],[Чистая Выручка]] * (1 + $B$4)</f>
        <v>2869505.19</v>
      </c>
      <c r="L588" s="1">
        <f>_SELECT_u_city_AS_Город_TO_CHAR_f_rental_start_YYYY_MM_AS_Месяц__202609232054[[#This Row],[Расходы на Ремонт]] * (1 + $B$5)</f>
        <v>68067.767999999996</v>
      </c>
      <c r="M58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2801437.4219999998</v>
      </c>
    </row>
    <row r="589" spans="3:13" x14ac:dyDescent="0.25">
      <c r="C589" s="1" t="s">
        <v>17</v>
      </c>
      <c r="D589" s="2">
        <v>46174</v>
      </c>
      <c r="E589" s="1" t="s">
        <v>15</v>
      </c>
      <c r="F589">
        <v>4065</v>
      </c>
      <c r="G589" s="1" t="s">
        <v>604</v>
      </c>
      <c r="H589" s="1">
        <v>2816514.5</v>
      </c>
      <c r="I589" s="1">
        <v>2802723.79</v>
      </c>
      <c r="J589" s="1">
        <v>49884.317999999999</v>
      </c>
      <c r="K589" s="1">
        <f>_SELECT_u_city_AS_Город_TO_CHAR_f_rental_start_YYYY_MM_AS_Месяц__202609232054[[#This Row],[Чистая Выручка]] * (1 + $B$4)</f>
        <v>2802723.79</v>
      </c>
      <c r="L589" s="1">
        <f>_SELECT_u_city_AS_Город_TO_CHAR_f_rental_start_YYYY_MM_AS_Месяц__202609232054[[#This Row],[Расходы на Ремонт]] * (1 + $B$5)</f>
        <v>49884.317999999999</v>
      </c>
      <c r="M58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2752839.4720000001</v>
      </c>
    </row>
    <row r="590" spans="3:13" x14ac:dyDescent="0.25">
      <c r="C590" s="1" t="s">
        <v>22</v>
      </c>
      <c r="D590" s="2">
        <v>46174</v>
      </c>
      <c r="E590" s="1" t="s">
        <v>9</v>
      </c>
      <c r="F590">
        <v>4293</v>
      </c>
      <c r="G590" s="1" t="s">
        <v>605</v>
      </c>
      <c r="H590" s="1">
        <v>2998410.5</v>
      </c>
      <c r="I590" s="1">
        <v>2984591.07</v>
      </c>
      <c r="J590" s="1">
        <v>0</v>
      </c>
      <c r="K590" s="1">
        <f>_SELECT_u_city_AS_Город_TO_CHAR_f_rental_start_YYYY_MM_AS_Месяц__202609232054[[#This Row],[Чистая Выручка]] * (1 + $B$4)</f>
        <v>2984591.07</v>
      </c>
      <c r="L590" s="1">
        <f>_SELECT_u_city_AS_Город_TO_CHAR_f_rental_start_YYYY_MM_AS_Месяц__202609232054[[#This Row],[Расходы на Ремонт]] * (1 + $B$5)</f>
        <v>0</v>
      </c>
      <c r="M59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2984591.07</v>
      </c>
    </row>
    <row r="591" spans="3:13" x14ac:dyDescent="0.25">
      <c r="C591" s="1" t="s">
        <v>22</v>
      </c>
      <c r="D591" s="2">
        <v>46174</v>
      </c>
      <c r="E591" s="1" t="s">
        <v>11</v>
      </c>
      <c r="F591">
        <v>4308</v>
      </c>
      <c r="G591" s="1" t="s">
        <v>606</v>
      </c>
      <c r="H591" s="1">
        <v>3015057.5</v>
      </c>
      <c r="I591" s="1">
        <v>3000148.45</v>
      </c>
      <c r="J591" s="1">
        <v>146610.79999999999</v>
      </c>
      <c r="K591" s="1">
        <f>_SELECT_u_city_AS_Город_TO_CHAR_f_rental_start_YYYY_MM_AS_Месяц__202609232054[[#This Row],[Чистая Выручка]] * (1 + $B$4)</f>
        <v>3000148.45</v>
      </c>
      <c r="L591" s="1">
        <f>_SELECT_u_city_AS_Город_TO_CHAR_f_rental_start_YYYY_MM_AS_Месяц__202609232054[[#This Row],[Расходы на Ремонт]] * (1 + $B$5)</f>
        <v>146610.79999999999</v>
      </c>
      <c r="M59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2853537.6500000004</v>
      </c>
    </row>
    <row r="592" spans="3:13" x14ac:dyDescent="0.25">
      <c r="C592" s="1" t="s">
        <v>22</v>
      </c>
      <c r="D592" s="2">
        <v>46174</v>
      </c>
      <c r="E592" s="1" t="s">
        <v>13</v>
      </c>
      <c r="F592">
        <v>4383</v>
      </c>
      <c r="G592" s="1" t="s">
        <v>607</v>
      </c>
      <c r="H592" s="1">
        <v>3075427.5</v>
      </c>
      <c r="I592" s="1">
        <v>3060291.04</v>
      </c>
      <c r="J592" s="1">
        <v>71787.911999999997</v>
      </c>
      <c r="K592" s="1">
        <f>_SELECT_u_city_AS_Город_TO_CHAR_f_rental_start_YYYY_MM_AS_Месяц__202609232054[[#This Row],[Чистая Выручка]] * (1 + $B$4)</f>
        <v>3060291.04</v>
      </c>
      <c r="L592" s="1">
        <f>_SELECT_u_city_AS_Город_TO_CHAR_f_rental_start_YYYY_MM_AS_Месяц__202609232054[[#This Row],[Расходы на Ремонт]] * (1 + $B$5)</f>
        <v>71787.911999999997</v>
      </c>
      <c r="M592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2988503.128</v>
      </c>
    </row>
    <row r="593" spans="3:13" x14ac:dyDescent="0.25">
      <c r="C593" s="1" t="s">
        <v>22</v>
      </c>
      <c r="D593" s="2">
        <v>46174</v>
      </c>
      <c r="E593" s="1" t="s">
        <v>15</v>
      </c>
      <c r="F593">
        <v>4104</v>
      </c>
      <c r="G593" s="1" t="s">
        <v>608</v>
      </c>
      <c r="H593" s="1">
        <v>2823401</v>
      </c>
      <c r="I593" s="1">
        <v>2808480.44</v>
      </c>
      <c r="J593" s="1">
        <v>50042.286</v>
      </c>
      <c r="K593" s="1">
        <f>_SELECT_u_city_AS_Город_TO_CHAR_f_rental_start_YYYY_MM_AS_Месяц__202609232054[[#This Row],[Чистая Выручка]] * (1 + $B$4)</f>
        <v>2808480.44</v>
      </c>
      <c r="L593" s="1">
        <f>_SELECT_u_city_AS_Город_TO_CHAR_f_rental_start_YYYY_MM_AS_Месяц__202609232054[[#This Row],[Расходы на Ремонт]] * (1 + $B$5)</f>
        <v>50042.286</v>
      </c>
      <c r="M593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2758438.1540000001</v>
      </c>
    </row>
    <row r="594" spans="3:13" x14ac:dyDescent="0.25">
      <c r="C594" s="1" t="s">
        <v>27</v>
      </c>
      <c r="D594" s="2">
        <v>46174</v>
      </c>
      <c r="E594" s="1" t="s">
        <v>9</v>
      </c>
      <c r="F594">
        <v>4260</v>
      </c>
      <c r="G594" s="1" t="s">
        <v>609</v>
      </c>
      <c r="H594" s="1">
        <v>2974763.5</v>
      </c>
      <c r="I594" s="1">
        <v>2960134.36</v>
      </c>
      <c r="J594" s="1">
        <v>0</v>
      </c>
      <c r="K594" s="1">
        <f>_SELECT_u_city_AS_Город_TO_CHAR_f_rental_start_YYYY_MM_AS_Месяц__202609232054[[#This Row],[Чистая Выручка]] * (1 + $B$4)</f>
        <v>2960134.36</v>
      </c>
      <c r="L594" s="1">
        <f>_SELECT_u_city_AS_Город_TO_CHAR_f_rental_start_YYYY_MM_AS_Месяц__202609232054[[#This Row],[Расходы на Ремонт]] * (1 + $B$5)</f>
        <v>0</v>
      </c>
      <c r="M594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2960134.36</v>
      </c>
    </row>
    <row r="595" spans="3:13" x14ac:dyDescent="0.25">
      <c r="C595" s="1" t="s">
        <v>27</v>
      </c>
      <c r="D595" s="2">
        <v>46174</v>
      </c>
      <c r="E595" s="1" t="s">
        <v>11</v>
      </c>
      <c r="F595">
        <v>4149</v>
      </c>
      <c r="G595" s="1" t="s">
        <v>610</v>
      </c>
      <c r="H595" s="1">
        <v>2870984</v>
      </c>
      <c r="I595" s="1">
        <v>2856083.07</v>
      </c>
      <c r="J595" s="1">
        <v>141703.07500000001</v>
      </c>
      <c r="K595" s="1">
        <f>_SELECT_u_city_AS_Город_TO_CHAR_f_rental_start_YYYY_MM_AS_Месяц__202609232054[[#This Row],[Чистая Выручка]] * (1 + $B$4)</f>
        <v>2856083.07</v>
      </c>
      <c r="L595" s="1">
        <f>_SELECT_u_city_AS_Город_TO_CHAR_f_rental_start_YYYY_MM_AS_Месяц__202609232054[[#This Row],[Расходы на Ремонт]] * (1 + $B$5)</f>
        <v>141703.07500000001</v>
      </c>
      <c r="M595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2714379.9949999996</v>
      </c>
    </row>
    <row r="596" spans="3:13" x14ac:dyDescent="0.25">
      <c r="C596" s="1" t="s">
        <v>27</v>
      </c>
      <c r="D596" s="2">
        <v>46174</v>
      </c>
      <c r="E596" s="1" t="s">
        <v>13</v>
      </c>
      <c r="F596">
        <v>4169</v>
      </c>
      <c r="G596" s="1" t="s">
        <v>611</v>
      </c>
      <c r="H596" s="1">
        <v>2931273.5</v>
      </c>
      <c r="I596" s="1">
        <v>2917003.23</v>
      </c>
      <c r="J596" s="1">
        <v>67280.111999999994</v>
      </c>
      <c r="K596" s="1">
        <f>_SELECT_u_city_AS_Город_TO_CHAR_f_rental_start_YYYY_MM_AS_Месяц__202609232054[[#This Row],[Чистая Выручка]] * (1 + $B$4)</f>
        <v>2917003.23</v>
      </c>
      <c r="L596" s="1">
        <f>_SELECT_u_city_AS_Город_TO_CHAR_f_rental_start_YYYY_MM_AS_Месяц__202609232054[[#This Row],[Расходы на Ремонт]] * (1 + $B$5)</f>
        <v>67280.111999999994</v>
      </c>
      <c r="M596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2849723.1179999998</v>
      </c>
    </row>
    <row r="597" spans="3:13" x14ac:dyDescent="0.25">
      <c r="C597" s="1" t="s">
        <v>27</v>
      </c>
      <c r="D597" s="2">
        <v>46174</v>
      </c>
      <c r="E597" s="1" t="s">
        <v>15</v>
      </c>
      <c r="F597">
        <v>3957</v>
      </c>
      <c r="G597" s="1" t="s">
        <v>612</v>
      </c>
      <c r="H597" s="1">
        <v>2785882</v>
      </c>
      <c r="I597" s="1">
        <v>2772764.27</v>
      </c>
      <c r="J597" s="1">
        <v>48826.404000000002</v>
      </c>
      <c r="K597" s="1">
        <f>_SELECT_u_city_AS_Город_TO_CHAR_f_rental_start_YYYY_MM_AS_Месяц__202609232054[[#This Row],[Чистая Выручка]] * (1 + $B$4)</f>
        <v>2772764.27</v>
      </c>
      <c r="L597" s="1">
        <f>_SELECT_u_city_AS_Город_TO_CHAR_f_rental_start_YYYY_MM_AS_Месяц__202609232054[[#This Row],[Расходы на Ремонт]] * (1 + $B$5)</f>
        <v>48826.404000000002</v>
      </c>
      <c r="M597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2723937.8659999999</v>
      </c>
    </row>
    <row r="598" spans="3:13" x14ac:dyDescent="0.25">
      <c r="C598" s="1" t="s">
        <v>32</v>
      </c>
      <c r="D598" s="2">
        <v>46174</v>
      </c>
      <c r="E598" s="1" t="s">
        <v>9</v>
      </c>
      <c r="F598">
        <v>4293</v>
      </c>
      <c r="G598" s="1" t="s">
        <v>613</v>
      </c>
      <c r="H598" s="1">
        <v>2978029.5</v>
      </c>
      <c r="I598" s="1">
        <v>2963845.13</v>
      </c>
      <c r="J598" s="1">
        <v>0</v>
      </c>
      <c r="K598" s="1">
        <f>_SELECT_u_city_AS_Город_TO_CHAR_f_rental_start_YYYY_MM_AS_Месяц__202609232054[[#This Row],[Чистая Выручка]] * (1 + $B$4)</f>
        <v>2963845.13</v>
      </c>
      <c r="L598" s="1">
        <f>_SELECT_u_city_AS_Город_TO_CHAR_f_rental_start_YYYY_MM_AS_Месяц__202609232054[[#This Row],[Расходы на Ремонт]] * (1 + $B$5)</f>
        <v>0</v>
      </c>
      <c r="M598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2963845.13</v>
      </c>
    </row>
    <row r="599" spans="3:13" x14ac:dyDescent="0.25">
      <c r="C599" s="1" t="s">
        <v>32</v>
      </c>
      <c r="D599" s="2">
        <v>46174</v>
      </c>
      <c r="E599" s="1" t="s">
        <v>11</v>
      </c>
      <c r="F599">
        <v>4107</v>
      </c>
      <c r="G599" s="1" t="s">
        <v>614</v>
      </c>
      <c r="H599" s="1">
        <v>2884240.5</v>
      </c>
      <c r="I599" s="1">
        <v>2870282.61</v>
      </c>
      <c r="J599" s="1">
        <v>139920.75</v>
      </c>
      <c r="K599" s="1">
        <f>_SELECT_u_city_AS_Город_TO_CHAR_f_rental_start_YYYY_MM_AS_Месяц__202609232054[[#This Row],[Чистая Выручка]] * (1 + $B$4)</f>
        <v>2870282.61</v>
      </c>
      <c r="L599" s="1">
        <f>_SELECT_u_city_AS_Город_TO_CHAR_f_rental_start_YYYY_MM_AS_Месяц__202609232054[[#This Row],[Расходы на Ремонт]] * (1 + $B$5)</f>
        <v>139920.75</v>
      </c>
      <c r="M599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2730361.86</v>
      </c>
    </row>
    <row r="600" spans="3:13" x14ac:dyDescent="0.25">
      <c r="C600" s="1" t="s">
        <v>32</v>
      </c>
      <c r="D600" s="2">
        <v>46174</v>
      </c>
      <c r="E600" s="1" t="s">
        <v>13</v>
      </c>
      <c r="F600">
        <v>4174</v>
      </c>
      <c r="G600" s="1" t="s">
        <v>615</v>
      </c>
      <c r="H600" s="1">
        <v>2922832</v>
      </c>
      <c r="I600" s="1">
        <v>2908143.35</v>
      </c>
      <c r="J600" s="1">
        <v>68352.312000000005</v>
      </c>
      <c r="K600" s="1">
        <f>_SELECT_u_city_AS_Город_TO_CHAR_f_rental_start_YYYY_MM_AS_Месяц__202609232054[[#This Row],[Чистая Выручка]] * (1 + $B$4)</f>
        <v>2908143.35</v>
      </c>
      <c r="L600" s="1">
        <f>_SELECT_u_city_AS_Город_TO_CHAR_f_rental_start_YYYY_MM_AS_Месяц__202609232054[[#This Row],[Расходы на Ремонт]] * (1 + $B$5)</f>
        <v>68352.312000000005</v>
      </c>
      <c r="M600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2839791.0380000002</v>
      </c>
    </row>
    <row r="601" spans="3:13" x14ac:dyDescent="0.25">
      <c r="C601" s="1" t="s">
        <v>32</v>
      </c>
      <c r="D601" s="2">
        <v>46174</v>
      </c>
      <c r="E601" s="1" t="s">
        <v>15</v>
      </c>
      <c r="F601">
        <v>4106</v>
      </c>
      <c r="G601" s="1" t="s">
        <v>616</v>
      </c>
      <c r="H601" s="1">
        <v>2863768</v>
      </c>
      <c r="I601" s="1">
        <v>2850122.91</v>
      </c>
      <c r="J601" s="1">
        <v>50104.538999999997</v>
      </c>
      <c r="K601" s="1">
        <f>_SELECT_u_city_AS_Город_TO_CHAR_f_rental_start_YYYY_MM_AS_Месяц__202609232054[[#This Row],[Чистая Выручка]] * (1 + $B$4)</f>
        <v>2850122.91</v>
      </c>
      <c r="L601" s="1">
        <f>_SELECT_u_city_AS_Город_TO_CHAR_f_rental_start_YYYY_MM_AS_Месяц__202609232054[[#This Row],[Расходы на Ремонт]] * (1 + $B$5)</f>
        <v>50104.538999999997</v>
      </c>
      <c r="M601" s="1">
        <f>_SELECT_u_city_AS_Город_TO_CHAR_f_rental_start_YYYY_MM_AS_Месяц__202609232054[[#This Row],[Прогноз Выручки]] - _SELECT_u_city_AS_Город_TO_CHAR_f_rental_start_YYYY_MM_AS_Месяц__202609232054[[#This Row],[Прогноз Расходов]]</f>
        <v>2800018.3710000003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9E43-7CCB-4AAE-AB2A-50C4EC1E5A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7DCF2-66FD-4B7C-B2B7-39180E4E5D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_SELECT_u_city_AS_Город_TO_CHAR</vt:lpstr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jenr kylie</dc:creator>
  <cp:lastModifiedBy>jenr kylie</cp:lastModifiedBy>
  <dcterms:created xsi:type="dcterms:W3CDTF">2026-09-23T17:56:07Z</dcterms:created>
  <dcterms:modified xsi:type="dcterms:W3CDTF">2026-09-23T18:33:14Z</dcterms:modified>
</cp:coreProperties>
</file>